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нализ данных" sheetId="1" r:id="rId5"/>
    <sheet state="visible" name="Топы и анти-топы" sheetId="2" r:id="rId6"/>
    <sheet state="visible" name="raw_regions" sheetId="3" r:id="rId7"/>
    <sheet state="visible" name="clean_regions" sheetId="4" r:id="rId8"/>
    <sheet state="visible" name="Сводная таблица 1" sheetId="5" r:id="rId9"/>
    <sheet state="visible" name="raw_pollution" sheetId="6" r:id="rId10"/>
    <sheet state="visible" name="raw_pollutants" sheetId="7" r:id="rId11"/>
    <sheet state="visible" name="raw_basins" sheetId="8" r:id="rId12"/>
    <sheet state="visible" name="raw_industry" sheetId="9" r:id="rId13"/>
    <sheet state="visible" name="Сводная таблица 3" sheetId="10" r:id="rId14"/>
  </sheets>
  <definedNames/>
  <calcPr/>
  <pivotCaches>
    <pivotCache cacheId="0" r:id="rId15"/>
    <pivotCache cacheId="1" r:id="rId16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tc={30325c1e-a5fc-4b4d-9384-ac103825ac39}</author>
  </authors>
  <commentList>
    <comment authorId="0" ref="A1">
      <text>
        <t xml:space="preserve">Показывает, какие регионы сбрасывают больше всего загрязненных сточных вод. Лидируют крупные города и промышленные центры.</t>
      </text>
    </comment>
    <comment authorId="0" ref="N1">
      <text>
        <t xml:space="preserve">Проверяем, какие регионы попадают сразу в несколько топов. Если регион в 3-4 топах - это устойчивый очаг загрязнения</t>
      </text>
    </comment>
    <comment authorId="0" ref="G20">
      <text>
        <t xml:space="preserve">Регионы, где на каждого жителя приходится меньше всего загрязнённых стоков. Показывает, где чище всего</t>
      </text>
    </comment>
    <comment authorId="0" ref="A39">
      <text>
        <t xml:space="preserve">Число зафиксированных случаев высокого и экстремально высокого загрязнения водных объектов.</t>
      </text>
    </comment>
    <comment authorId="0" ref="G39">
      <text>
        <t xml:space="preserve">Показывает, какая часть всех сточных вод сбрасывается без очистки. Если доля близка к 100% - значит регион почти не очищает стоки.</t>
      </text>
    </comment>
    <comment authorId="0" ref="N39">
      <text>
        <t xml:space="preserve">Показывает, какие бассейны принимают больше всего загрязненных стоков. Волга - главный «приёмник» загрязнений России.</t>
      </text>
    </comment>
    <comment authorId="0" ref="S39">
      <text>
        <t xml:space="preserve">Какие отрасли экономики сбрасывают больше всего грязной воды. 65% приходится на ЖКХ. Сельское хозяйство - единственная отрасль с ростом загрязнения.</t>
      </text>
    </comment>
    <comment authorId="1" xr:uid="{30325c1e-a5fc-4b4d-9384-ac103825ac39}" ref="G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Показывает, где почти все сбрасываемые воды загрязнённые.
</t>
      </text>
    </comment>
  </commentList>
</comments>
</file>

<file path=xl/sharedStrings.xml><?xml version="1.0" encoding="utf-8"?>
<sst xmlns="http://schemas.openxmlformats.org/spreadsheetml/2006/main" count="1099" uniqueCount="545">
  <si>
    <t>Блок 1. Описательная статистика: 
сброс загрязнённых сточных вод (млн м³)</t>
  </si>
  <si>
    <t>Количество регионов</t>
  </si>
  <si>
    <r>
      <rPr>
        <rFont val="Arial"/>
        <b/>
        <color theme="1"/>
      </rPr>
      <t xml:space="preserve">Исследовательские вопросы:
</t>
    </r>
    <r>
      <rPr>
        <rFont val="Arial"/>
        <b val="0"/>
        <color theme="1"/>
      </rPr>
      <t>1. В каких регионах России фиксируется наибольший уровень загрязнения поверхностных вод? (лист "Топы и анти-топы")
2. Какие загрязняющие вещества представляют наибольшую угрозу? (Блок 5а)
3. Какие реки и водные бассейны страдают сильнее всего? (Блок 5б + топ бассейнов на листе лист "Топы и анти-топы")
4. Становится ли вода чище или грязнее? Тенденции за 30 лет. (Блок 5а + Блок 5б)
5. Существуют ли географические кластеры загрязнения? (Блок 3 + перекрестный анализ на листе "Топы и анти-топы")
6. Как тип региона (промышленный, аграрный, столичный) влияет на загрязнение воды? (Блок 4 + топ отраслей на листе "Топы и анти-топы")</t>
    </r>
  </si>
  <si>
    <t>Сумма по РФ (млн м³)</t>
  </si>
  <si>
    <t>Среднее (млн м³)</t>
  </si>
  <si>
    <t>Медиана (млн м³)</t>
  </si>
  <si>
    <t>Мода (млн м³)</t>
  </si>
  <si>
    <t>Минимум (млн м³)</t>
  </si>
  <si>
    <t>Регион-минимум</t>
  </si>
  <si>
    <t>Максимум (млн м³)</t>
  </si>
  <si>
    <t>Регион-максимум</t>
  </si>
  <si>
    <t>Размах</t>
  </si>
  <si>
    <t>Стандартное отклонение</t>
  </si>
  <si>
    <t>Блок 2. Описательная статистика: 
сброс на душу населения (м³ на чел.)</t>
  </si>
  <si>
    <t>Среднее</t>
  </si>
  <si>
    <t>Медиана</t>
  </si>
  <si>
    <t>Минимум</t>
  </si>
  <si>
    <t>Максимум</t>
  </si>
  <si>
    <t>Блок 3. Сравнение по федеральным округам
Вопрос 5. Есть ли устойчивые “кластеры” загрязнения (группы регионов с похожими проблемами)?</t>
  </si>
  <si>
    <t>Округ</t>
  </si>
  <si>
    <t>Сумма сброса, млн м³</t>
  </si>
  <si>
    <t>Средний сброс, млн м³</t>
  </si>
  <si>
    <t>Средний на душу, м³/чел.</t>
  </si>
  <si>
    <t>Кол-во регионов</t>
  </si>
  <si>
    <t>Доля от РФ, %</t>
  </si>
  <si>
    <t>ЦФО</t>
  </si>
  <si>
    <t>СЗФО</t>
  </si>
  <si>
    <t>ЮФО</t>
  </si>
  <si>
    <t>СКФО</t>
  </si>
  <si>
    <t>ПФО</t>
  </si>
  <si>
    <t>УФО</t>
  </si>
  <si>
    <t>СФО</t>
  </si>
  <si>
    <t>ДФО</t>
  </si>
  <si>
    <t xml:space="preserve">1. СЗФО - лидер и по среднему сбросу на регион (178.9 млн м³), и по среднему сбросу на душу населения (112.2 м³/чел.). Это главный кластер загрязнения в России. 
Возможные причины: Санкт-Петербург, целлюлозно-бумажные комбинаты Архангельской области
2. ПФО второй по суммарному сбросу (1742.4 млн м³), но на душу населения (56.9 м³/чел.) - середина. Загрязнение «размывается» большим населением Поволжья. Основные загрязнители: Самарская, Нижегородская области, Татарстан, Башкортостан.
3. УФО при всего 6 регионах имеет второй по величине средний сброс (162.7 млн м³) и высокий показатель на душу (70.8 м³/чел.). Это кластер тяжелой промышленности: Свердловская область (501.3 млн м³) и Челябинская (271.5 млн м³) дают основной вклад.
4. ДФО занимает 3-е место по сбросу на душу населения (78.6 м³/чел.) при низком суммарном сбросе. Причина: малое население при наличии крупных промышленных центров: Приморский край, Хабаровск
5. ЮФО и СКФО - самые чистые округа: минимальный показатель на душу (33.7 и 40.3 м³/чел.). Преобладает сельское хозяйство, мало тяжелой промышленности.
6. Три кластера загрязнения: «Северо-Западный» (СЗФО, 112.2 м³/чел. - ЦБК и мегаполис), «Уральский» (УрФО, 70.8 м³/чел. - металлургия), «Дальневосточный» (ДФО, 78.6 м³/чел. - малое население + промышленность). </t>
  </si>
  <si>
    <t>Блок 4. Доля отраслей в загрязнении
Вопрос 6. Как тип региона и отрасль экономики влияют на загрязнение воды?</t>
  </si>
  <si>
    <t>Отрасль</t>
  </si>
  <si>
    <t>Сброс 2022, млн м³</t>
  </si>
  <si>
    <t>Доля, %</t>
  </si>
  <si>
    <t>Водоснабжение и водоотведение</t>
  </si>
  <si>
    <t>Обрабатывающие производства</t>
  </si>
  <si>
    <t>Энергетика</t>
  </si>
  <si>
    <t>Сельское хозяйство</t>
  </si>
  <si>
    <t>Добыча полезных ископаемых</t>
  </si>
  <si>
    <t>Прочие</t>
  </si>
  <si>
    <t>&gt;65% загрязнённых стоков - это бытовые и городские стоки (ЖКХ), а не промышленность напрямую, значит, главная проблема - изношенные очистные сооружения в городах, а не заводские трубы.</t>
  </si>
  <si>
    <t xml:space="preserve">Блок 5. Динамика загрязнения 1993-2022 гг.
Вопрос 2. Какие загрязняющие вещества представляют наибольшую угрозу?
Вопрос 3. Какие реки и водные бассейны страдают сильнее всего? 
Вопрос 4. Становится ли вода чище или грязнее? Тенденции за 30 лет. </t>
  </si>
  <si>
    <t>5а. Изменение объема загрязняющих веществ в сточных водах (1993-2022)</t>
  </si>
  <si>
    <t>Показатель</t>
  </si>
  <si>
    <t>Изменение, %</t>
  </si>
  <si>
    <t>Общий сброс (млрд м³)</t>
  </si>
  <si>
    <t>Сульфаты (млн т)</t>
  </si>
  <si>
    <t>Хлориды (млн т)</t>
  </si>
  <si>
    <t>Нитраты (тыс. т)</t>
  </si>
  <si>
    <t>Жиры и масла (тыс. т)</t>
  </si>
  <si>
    <t>Фенол (т)</t>
  </si>
  <si>
    <t>Свинец (т)</t>
  </si>
  <si>
    <t>Ртуть (т)</t>
  </si>
  <si>
    <t>За 30 лет общий объём сброса сократился почти вдвое (−46.9%). Это положительная тенденция, связанная со спадом промышленности в 1990-х и постепенной модернизацией очистных сооружений.
Большинство опасных веществ резко сократились: ртуть −99.9%, жиры и масла −98.7%, свинец −92.7%, фенол −84.7%. Однако нитраты выросли на +156.4% - это единственный загрязнитель с ростом, причина, вероятнее всего, в увеличении использования удобрений в сельском хозяйстве. Хлориды снизились меньше всего (−26.2%), оставаясь устойчивой проблемой. Получается, общий объем сброса уменьшился, вода стала чище от промышленных ядов, но грязнее от сельскохозяйственных стоков.</t>
  </si>
  <si>
    <t>5б. Изменение сброса по бассейнам рек и морей (1993-2022)</t>
  </si>
  <si>
    <t>Бассейн</t>
  </si>
  <si>
    <t>Волга</t>
  </si>
  <si>
    <t>Каспийское море</t>
  </si>
  <si>
    <t>Балтийское море</t>
  </si>
  <si>
    <t>Обь</t>
  </si>
  <si>
    <t>Кубань</t>
  </si>
  <si>
    <t>Енисей</t>
  </si>
  <si>
    <t>Дон</t>
  </si>
  <si>
    <t>Белое море</t>
  </si>
  <si>
    <t>Все бассейны стали чище за 30 лет. Енисей очистился сильнее всего (−65%), а Балтийское море - меньше всего (−40%). Волга по-прежнему принимает 38% всех загрязненных сбросов России и остается главной пострадавшей рекой страны. Кубань (−43.8%) и Балтийское море (−40%) очищаются медленнее остальных - на Кубань влияет рост сельского хозяйства Краснодарского края, на Балтику - концентрация населения (Санкт-Петербург, Ленинградская область).</t>
  </si>
  <si>
    <t>Топ-15 регионов по объему сброса загрязнённых сточных вод (м³ на чел.), 2024</t>
  </si>
  <si>
    <t>Топ-15 регионов по сбросу загрязнённых вод на душу населения (м³ на чел.), 2024</t>
  </si>
  <si>
    <t>Регионы, попавшие в несколько топов одновременно (перекрёстный анализ)</t>
  </si>
  <si>
    <t>Место</t>
  </si>
  <si>
    <t>Субъект РФ</t>
  </si>
  <si>
    <t>Федеральный округ</t>
  </si>
  <si>
    <t>Сброс загрязн., млн м3</t>
  </si>
  <si>
    <t>Доля загрязн процент</t>
  </si>
  <si>
    <t>Сброс загрязн., 
млн м³</t>
  </si>
  <si>
    <t>Население, тыс. чел.</t>
  </si>
  <si>
    <t>Сброс на душу, м³</t>
  </si>
  <si>
    <t>Топ по сбросу</t>
  </si>
  <si>
    <t>Топ на душу</t>
  </si>
  <si>
    <t>Топ по случаям</t>
  </si>
  <si>
    <t>Топ по доле</t>
  </si>
  <si>
    <t>Число совпадений</t>
  </si>
  <si>
    <t>Санкт-Петербург</t>
  </si>
  <si>
    <t>Архангельская область</t>
  </si>
  <si>
    <t>Свердловская область</t>
  </si>
  <si>
    <t>Иркутская область</t>
  </si>
  <si>
    <t>Республика Карелия</t>
  </si>
  <si>
    <t>Самарская область</t>
  </si>
  <si>
    <t>Мурманская область</t>
  </si>
  <si>
    <t>Нижегородская область</t>
  </si>
  <si>
    <t>Челябинская область</t>
  </si>
  <si>
    <t>Красноярский край</t>
  </si>
  <si>
    <t>Томская область</t>
  </si>
  <si>
    <t>Московская область</t>
  </si>
  <si>
    <t>Ленинградская область</t>
  </si>
  <si>
    <t>Хабаровский край</t>
  </si>
  <si>
    <t>Республика Северная Осетия</t>
  </si>
  <si>
    <t>Ярославская область</t>
  </si>
  <si>
    <t>Омская область</t>
  </si>
  <si>
    <t>Приморский край</t>
  </si>
  <si>
    <t>УрФО</t>
  </si>
  <si>
    <t>Москва</t>
  </si>
  <si>
    <t>Ростовская область</t>
  </si>
  <si>
    <t>Ханты-Мансийский АО</t>
  </si>
  <si>
    <t>Республика Татарстан</t>
  </si>
  <si>
    <t>Камчатский край</t>
  </si>
  <si>
    <t>Ямало-Ненецкий АО</t>
  </si>
  <si>
    <t>Республика Башкортостан</t>
  </si>
  <si>
    <t>Магаданская область</t>
  </si>
  <si>
    <t>Курганская область</t>
  </si>
  <si>
    <t>Анти-топ-15: регионы с наименьшим сбросом загрязнённых сточных вод, 2024</t>
  </si>
  <si>
    <t>Анти-топ-15: регионы с наименьшим сбросом загрязнённых вод на душу населения, 2024</t>
  </si>
  <si>
    <t>Сброс загрязн., млн м³</t>
  </si>
  <si>
    <t>Доля загрязн., %</t>
  </si>
  <si>
    <t>Чеченская Республика</t>
  </si>
  <si>
    <t>Ненецкий автономный округ</t>
  </si>
  <si>
    <t>Республика Алтай</t>
  </si>
  <si>
    <t>Республика Ингушетия</t>
  </si>
  <si>
    <t>Республика Адыгея</t>
  </si>
  <si>
    <t>Республика Дагестан</t>
  </si>
  <si>
    <t>Чукотский автономный округ</t>
  </si>
  <si>
    <t>Республика Мордовия</t>
  </si>
  <si>
    <t>Алтайский край</t>
  </si>
  <si>
    <t>Республика Тыва</t>
  </si>
  <si>
    <t>Республика Калмыкия</t>
  </si>
  <si>
    <t>Ивановская область</t>
  </si>
  <si>
    <t>Еврейская автономная область</t>
  </si>
  <si>
    <t>Кабардино-Балкарская Республика</t>
  </si>
  <si>
    <t>Рязанская область</t>
  </si>
  <si>
    <t>Новосибирская область</t>
  </si>
  <si>
    <t>Новгородская область</t>
  </si>
  <si>
    <t>Краснодарский край</t>
  </si>
  <si>
    <t>Топ-10 регионов по итоговому числу случаев высокого и экстремально высокого загрязнения водных объектов, I полугодие 2022</t>
  </si>
  <si>
    <t>Топ-10 регионов по доле загрязнённых вод в общем объёме сброса (%), 2024</t>
  </si>
  <si>
    <t>Топ бассейнов рек и морей по объёму сброса загрязнённых сточных вод, 2022</t>
  </si>
  <si>
    <t>Топ отраслей по сбросу загрязнённых сточных вод, 2022</t>
  </si>
  <si>
    <t>Высокое загрязнение</t>
  </si>
  <si>
    <t>Экстремально высокое</t>
  </si>
  <si>
    <t>Итого случаев</t>
  </si>
  <si>
    <t>Сброс всего, млн м³</t>
  </si>
  <si>
    <t>Сброс 2022, млрд м³</t>
  </si>
  <si>
    <t>Доля от общего, %</t>
  </si>
  <si>
    <t>Сброс 2017, млн м³</t>
  </si>
  <si>
    <t>Изменение 
от 2017 к 2022, %</t>
  </si>
  <si>
    <t>4,3</t>
  </si>
  <si>
    <t>1,5</t>
  </si>
  <si>
    <t>Владимирская область</t>
  </si>
  <si>
    <t>1,4</t>
  </si>
  <si>
    <t>0,9</t>
  </si>
  <si>
    <t>Карачаево-Черкесская Республика</t>
  </si>
  <si>
    <t>0,7</t>
  </si>
  <si>
    <t>Республика Крым</t>
  </si>
  <si>
    <t>Орловская область</t>
  </si>
  <si>
    <r>
      <rPr>
        <rFont val="Arial"/>
        <b/>
        <color rgb="FF000000"/>
      </rPr>
      <t xml:space="preserve">Ключевые выводы по топам: 
</t>
    </r>
    <r>
      <rPr>
        <rFont val="Arial"/>
        <color rgb="FF000000"/>
      </rPr>
      <t xml:space="preserve">
1. По абсолютному объёму лидирует Санкт-Петербург (937.5 млн м³) -- крупнейший город на воде с огромным объемом бытовых стоков
2. По сбросу на душу населения лидирует Архангельская область (241.9 м³/чел.) - в 16 раз выше, чем у Москвы (15.1 м³/чел.)
3. Свердловская область - абсолютный лидер по числу зафиксированных случаев загрязнения (304 случая), что почти в 3 раза больше, чем у Московской области (115)
4. Топ загрязненных и топ случаев загрязнения частично совпадают: Свердловская, Челябинская, Красноярский край, ХМАО - промышленные и добывающие регионы Урала и Сибири
5. Самые чистые регионы - малонаселенные территории (Ненецкий АО, Чукотка, Республика Алтай) и республики Северного Кавказа (Чечня, Ингушетия, Дагестан)
6. Курганская область сбрасывает 99.7% воды в загрязненном виде - практически ничего не очищается
7. Москва, несмотря на лидерство по абсолютному сбросу (198.5 млн м³), на душу населения занимает 9-е место снизу (15.2 м³/чел.) - масштаб города «размывает» показатель
8. Антитопы по абсолютному и по душевому сбросу почти совпадают: в обоих лидируют республики Северного Кавказа и малонаселённые регионы Сибири - там мало промышленности и низкая плотность населения
9. Волга принимает 38% всех загрязнённых сбросов России - больше всего загрязнений по стране
10. 65% загрязненных стоков приходится на отрасль водоснабжения и водоотведения - это значит, что главный источник загрязнения - бытовые и городские стоки, а не промышленность 
11. Уральский промышленный кластер (Свердловская, Челябинская, Курганская области, ХМАО, ЯНАО) - самая проблемная зона: регионы попадают сразу в несколько топов загрязнения
12. Сельское хозяйство - единственная отрасль, где сбросы выросли (+3.2% за 2017-2022), все остальные снизились</t>
    </r>
  </si>
  <si>
    <t>Сброс сточных вод по субъектам РФ, 2024 г.</t>
  </si>
  <si>
    <t>Забор воды (млн м3)</t>
  </si>
  <si>
    <t>Потери воды (млн м3)</t>
  </si>
  <si>
    <t>Сброс всего (млн м3)</t>
  </si>
  <si>
    <t>Сброс загрязн (млн м3)</t>
  </si>
  <si>
    <t>Белгородская область</t>
  </si>
  <si>
    <t>261.8</t>
  </si>
  <si>
    <t>125.6</t>
  </si>
  <si>
    <t>50.9</t>
  </si>
  <si>
    <t>40.6</t>
  </si>
  <si>
    <t>Брянская область</t>
  </si>
  <si>
    <t>106.5</t>
  </si>
  <si>
    <t>13.0</t>
  </si>
  <si>
    <t>62.8</t>
  </si>
  <si>
    <t>53.4</t>
  </si>
  <si>
    <t>85.1</t>
  </si>
  <si>
    <t>153.6</t>
  </si>
  <si>
    <t>15.0</t>
  </si>
  <si>
    <t>96.0</t>
  </si>
  <si>
    <t>89.8</t>
  </si>
  <si>
    <t>93.6</t>
  </si>
  <si>
    <t>Воронежская область</t>
  </si>
  <si>
    <t>459.4</t>
  </si>
  <si>
    <t>216.3</t>
  </si>
  <si>
    <t>128.0</t>
  </si>
  <si>
    <t>59.2</t>
  </si>
  <si>
    <t>101.0</t>
  </si>
  <si>
    <t>79.2</t>
  </si>
  <si>
    <t>Калужская область</t>
  </si>
  <si>
    <t>137.2</t>
  </si>
  <si>
    <t>85.8</t>
  </si>
  <si>
    <t>73.6</t>
  </si>
  <si>
    <t>85.7</t>
  </si>
  <si>
    <t>Костромская область</t>
  </si>
  <si>
    <t>1580.8</t>
  </si>
  <si>
    <t>1577.4</t>
  </si>
  <si>
    <t>32.8</t>
  </si>
  <si>
    <t>Курская область</t>
  </si>
  <si>
    <t>215.1</t>
  </si>
  <si>
    <t>83.6</t>
  </si>
  <si>
    <t>33.7</t>
  </si>
  <si>
    <t>40.4</t>
  </si>
  <si>
    <t>Липецкая область</t>
  </si>
  <si>
    <t>217.1</t>
  </si>
  <si>
    <t>33.4</t>
  </si>
  <si>
    <t>72.7</t>
  </si>
  <si>
    <t>53.3</t>
  </si>
  <si>
    <t>73.4</t>
  </si>
  <si>
    <t>350.0</t>
  </si>
  <si>
    <t>1207.0</t>
  </si>
  <si>
    <t>272.2</t>
  </si>
  <si>
    <t>77.4</t>
  </si>
  <si>
    <t>49.3</t>
  </si>
  <si>
    <t>44.0</t>
  </si>
  <si>
    <t>89.1</t>
  </si>
  <si>
    <t>164.8</t>
  </si>
  <si>
    <t>118.3</t>
  </si>
  <si>
    <t>Смоленская область</t>
  </si>
  <si>
    <t>152.7</t>
  </si>
  <si>
    <t>66.0</t>
  </si>
  <si>
    <t>48.4</t>
  </si>
  <si>
    <t>73.2</t>
  </si>
  <si>
    <t>Тамбовская область</t>
  </si>
  <si>
    <t>122.5</t>
  </si>
  <si>
    <t>54.9</t>
  </si>
  <si>
    <t>44.3</t>
  </si>
  <si>
    <t>80.6</t>
  </si>
  <si>
    <t>Тверская область</t>
  </si>
  <si>
    <t>1290.2</t>
  </si>
  <si>
    <t>1177.9</t>
  </si>
  <si>
    <t>77.2</t>
  </si>
  <si>
    <t>Тульская область</t>
  </si>
  <si>
    <t>290.4</t>
  </si>
  <si>
    <t>65.1</t>
  </si>
  <si>
    <t>157.4</t>
  </si>
  <si>
    <t>123.1</t>
  </si>
  <si>
    <t>78.2</t>
  </si>
  <si>
    <t>196.6</t>
  </si>
  <si>
    <t>159.7</t>
  </si>
  <si>
    <t>145.8</t>
  </si>
  <si>
    <t>91.3</t>
  </si>
  <si>
    <t>703.6</t>
  </si>
  <si>
    <t>1066.9</t>
  </si>
  <si>
    <t>198.5</t>
  </si>
  <si>
    <t>191.7</t>
  </si>
  <si>
    <t>252.3</t>
  </si>
  <si>
    <t>117.1</t>
  </si>
  <si>
    <t>46.4</t>
  </si>
  <si>
    <t>Республика Коми</t>
  </si>
  <si>
    <t>469.8</t>
  </si>
  <si>
    <t>423.5</t>
  </si>
  <si>
    <t>61.1</t>
  </si>
  <si>
    <t>0.3</t>
  </si>
  <si>
    <t>0.0</t>
  </si>
  <si>
    <t>490.8</t>
  </si>
  <si>
    <t>593.8</t>
  </si>
  <si>
    <t>254.5</t>
  </si>
  <si>
    <t>42.9</t>
  </si>
  <si>
    <t>Вологодская область</t>
  </si>
  <si>
    <t>230.1</t>
  </si>
  <si>
    <t>195.8</t>
  </si>
  <si>
    <t>61.9</t>
  </si>
  <si>
    <t>31.6</t>
  </si>
  <si>
    <t>Калининградская область</t>
  </si>
  <si>
    <t>122.0</t>
  </si>
  <si>
    <t>117.0</t>
  </si>
  <si>
    <t>85.9</t>
  </si>
  <si>
    <t>40.0</t>
  </si>
  <si>
    <t>269.8</t>
  </si>
  <si>
    <t>1617.3</t>
  </si>
  <si>
    <t>1688.4</t>
  </si>
  <si>
    <t>105.8</t>
  </si>
  <si>
    <t>74.3</t>
  </si>
  <si>
    <t>Псковская область</t>
  </si>
  <si>
    <t>107.0</t>
  </si>
  <si>
    <t>34.3</t>
  </si>
  <si>
    <t>32.0</t>
  </si>
  <si>
    <t>935.0</t>
  </si>
  <si>
    <t>58.5</t>
  </si>
  <si>
    <t>1108.3</t>
  </si>
  <si>
    <t>937.5</t>
  </si>
  <si>
    <t>84.6</t>
  </si>
  <si>
    <t>168.8</t>
  </si>
  <si>
    <t>126.0</t>
  </si>
  <si>
    <t>1.0</t>
  </si>
  <si>
    <t>319.8</t>
  </si>
  <si>
    <t>126.2</t>
  </si>
  <si>
    <t>9.14</t>
  </si>
  <si>
    <t>75.0</t>
  </si>
  <si>
    <t>301.8</t>
  </si>
  <si>
    <t>97.0</t>
  </si>
  <si>
    <t>104.2</t>
  </si>
  <si>
    <t>95.1</t>
  </si>
  <si>
    <t>945.0</t>
  </si>
  <si>
    <t>158.5</t>
  </si>
  <si>
    <t>Астраханская область</t>
  </si>
  <si>
    <t>945.6</t>
  </si>
  <si>
    <t>143.2</t>
  </si>
  <si>
    <t>225.2</t>
  </si>
  <si>
    <t>34.4</t>
  </si>
  <si>
    <t>Волгоградская область</t>
  </si>
  <si>
    <t>907.7</t>
  </si>
  <si>
    <t>153.7</t>
  </si>
  <si>
    <t>124.8</t>
  </si>
  <si>
    <t>84.1</t>
  </si>
  <si>
    <t>67.4</t>
  </si>
  <si>
    <t>3455.0</t>
  </si>
  <si>
    <t>639.5</t>
  </si>
  <si>
    <t>1303.1</t>
  </si>
  <si>
    <t>196.5</t>
  </si>
  <si>
    <t>Севастополь</t>
  </si>
  <si>
    <t>54.1</t>
  </si>
  <si>
    <t>79.4</t>
  </si>
  <si>
    <t>1192.7</t>
  </si>
  <si>
    <t>593.4</t>
  </si>
  <si>
    <t>345.0</t>
  </si>
  <si>
    <t>50.7</t>
  </si>
  <si>
    <t>0.6</t>
  </si>
  <si>
    <t>405.9</t>
  </si>
  <si>
    <t>117.5</t>
  </si>
  <si>
    <t>90.4</t>
  </si>
  <si>
    <t>602.2</t>
  </si>
  <si>
    <t>44.8</t>
  </si>
  <si>
    <t>41.0</t>
  </si>
  <si>
    <t>91.4</t>
  </si>
  <si>
    <t>Республика Северная Осетия – Алания</t>
  </si>
  <si>
    <t>1338.3</t>
  </si>
  <si>
    <t>409.1</t>
  </si>
  <si>
    <t>198.0</t>
  </si>
  <si>
    <t>87.0</t>
  </si>
  <si>
    <t>43.9</t>
  </si>
  <si>
    <t>155.6</t>
  </si>
  <si>
    <t>16.0</t>
  </si>
  <si>
    <t>Ставропольский край</t>
  </si>
  <si>
    <t>701.1</t>
  </si>
  <si>
    <t>1839.5</t>
  </si>
  <si>
    <t>115.5</t>
  </si>
  <si>
    <t>825.3</t>
  </si>
  <si>
    <t>56.9</t>
  </si>
  <si>
    <t>469.2</t>
  </si>
  <si>
    <t>169.8</t>
  </si>
  <si>
    <t>36.2</t>
  </si>
  <si>
    <t>Республика Марий Эл</t>
  </si>
  <si>
    <t>75.9</t>
  </si>
  <si>
    <t>54.7</t>
  </si>
  <si>
    <t>52.5</t>
  </si>
  <si>
    <t>60.1</t>
  </si>
  <si>
    <t>5.0</t>
  </si>
  <si>
    <t>888.8</t>
  </si>
  <si>
    <t>58.8</t>
  </si>
  <si>
    <t>523.4</t>
  </si>
  <si>
    <t>195.2</t>
  </si>
  <si>
    <t>37.7</t>
  </si>
  <si>
    <t>Удмуртская Республика</t>
  </si>
  <si>
    <t>289.1</t>
  </si>
  <si>
    <t>109.4</t>
  </si>
  <si>
    <t>65.5</t>
  </si>
  <si>
    <t>59.8</t>
  </si>
  <si>
    <t>Чувашская Республика</t>
  </si>
  <si>
    <t>95.4</t>
  </si>
  <si>
    <t>110.3</t>
  </si>
  <si>
    <t>61.0</t>
  </si>
  <si>
    <t>55.3</t>
  </si>
  <si>
    <t>Пермский край</t>
  </si>
  <si>
    <t>1683.7</t>
  </si>
  <si>
    <t>45.5</t>
  </si>
  <si>
    <t>1518.0</t>
  </si>
  <si>
    <t>119.7</t>
  </si>
  <si>
    <t>Кировская область</t>
  </si>
  <si>
    <t>144.5</t>
  </si>
  <si>
    <t>88.8</t>
  </si>
  <si>
    <t>70.5</t>
  </si>
  <si>
    <t>832.8</t>
  </si>
  <si>
    <t>62.1</t>
  </si>
  <si>
    <t>824.8</t>
  </si>
  <si>
    <t>313.7</t>
  </si>
  <si>
    <t>38.0</t>
  </si>
  <si>
    <t>Оренбургская область</t>
  </si>
  <si>
    <t>923.8</t>
  </si>
  <si>
    <t>805.4</t>
  </si>
  <si>
    <t>100.5</t>
  </si>
  <si>
    <t>Пензенская область</t>
  </si>
  <si>
    <t>252.1</t>
  </si>
  <si>
    <t>220.7</t>
  </si>
  <si>
    <t>93.3</t>
  </si>
  <si>
    <t>42.3</t>
  </si>
  <si>
    <t>697.9</t>
  </si>
  <si>
    <t>110.1</t>
  </si>
  <si>
    <t>402.3</t>
  </si>
  <si>
    <t>346.4</t>
  </si>
  <si>
    <t>86.1</t>
  </si>
  <si>
    <t>Саратовская область</t>
  </si>
  <si>
    <t>689.8</t>
  </si>
  <si>
    <t>75.8</t>
  </si>
  <si>
    <t>187.8</t>
  </si>
  <si>
    <t>84.0</t>
  </si>
  <si>
    <t>44.7</t>
  </si>
  <si>
    <t>Ульяновская область</t>
  </si>
  <si>
    <t>124.7</t>
  </si>
  <si>
    <t>115.6</t>
  </si>
  <si>
    <t>77.0</t>
  </si>
  <si>
    <t>31.4</t>
  </si>
  <si>
    <t>99.7</t>
  </si>
  <si>
    <t>734.3</t>
  </si>
  <si>
    <t>111.3</t>
  </si>
  <si>
    <t>668.6</t>
  </si>
  <si>
    <t>501.3</t>
  </si>
  <si>
    <t>Тюменская область без АО</t>
  </si>
  <si>
    <t>464.9</t>
  </si>
  <si>
    <t>328.6</t>
  </si>
  <si>
    <t>Ханты-Мансийский АО – Югра</t>
  </si>
  <si>
    <t>492.2</t>
  </si>
  <si>
    <t>63.5</t>
  </si>
  <si>
    <t>215.8</t>
  </si>
  <si>
    <t>71.3</t>
  </si>
  <si>
    <t>1013.7</t>
  </si>
  <si>
    <t>88.2</t>
  </si>
  <si>
    <t>732.5</t>
  </si>
  <si>
    <t>271.5</t>
  </si>
  <si>
    <t>37.1</t>
  </si>
  <si>
    <t>0.4</t>
  </si>
  <si>
    <t>35.4</t>
  </si>
  <si>
    <t>Республика Хакасия</t>
  </si>
  <si>
    <t>62.3</t>
  </si>
  <si>
    <t>92.7</t>
  </si>
  <si>
    <t>31.9</t>
  </si>
  <si>
    <t>467.6</t>
  </si>
  <si>
    <t>353.5</t>
  </si>
  <si>
    <t>82.9</t>
  </si>
  <si>
    <t>1827.6</t>
  </si>
  <si>
    <t>283.6</t>
  </si>
  <si>
    <t>1114.2</t>
  </si>
  <si>
    <t>994.6</t>
  </si>
  <si>
    <t>472.0</t>
  </si>
  <si>
    <t>47.5</t>
  </si>
  <si>
    <t>Кемеровская область</t>
  </si>
  <si>
    <t>1491.5</t>
  </si>
  <si>
    <t>41.3</t>
  </si>
  <si>
    <t>1474.0</t>
  </si>
  <si>
    <t>135.1</t>
  </si>
  <si>
    <t>687.2</t>
  </si>
  <si>
    <t>37.5</t>
  </si>
  <si>
    <t>573.6</t>
  </si>
  <si>
    <t>75.7</t>
  </si>
  <si>
    <t>217.6</t>
  </si>
  <si>
    <t>29.2</t>
  </si>
  <si>
    <t>132.9</t>
  </si>
  <si>
    <t>93.9</t>
  </si>
  <si>
    <t>357.9</t>
  </si>
  <si>
    <t>259.7</t>
  </si>
  <si>
    <t>142.5</t>
  </si>
  <si>
    <t>54.8</t>
  </si>
  <si>
    <t>Республика Бурятия</t>
  </si>
  <si>
    <t>690.0</t>
  </si>
  <si>
    <t>10.0</t>
  </si>
  <si>
    <t>755.1</t>
  </si>
  <si>
    <t>Республика Саха (Якутия)</t>
  </si>
  <si>
    <t>198.6</t>
  </si>
  <si>
    <t>7.0</t>
  </si>
  <si>
    <t>175.0</t>
  </si>
  <si>
    <t>66.7</t>
  </si>
  <si>
    <t>38.1</t>
  </si>
  <si>
    <t>Забайкальский край</t>
  </si>
  <si>
    <t>219.9</t>
  </si>
  <si>
    <t>14.0</t>
  </si>
  <si>
    <t>217.4</t>
  </si>
  <si>
    <t>63.4</t>
  </si>
  <si>
    <t>163.3</t>
  </si>
  <si>
    <t>123.0</t>
  </si>
  <si>
    <t>564.5</t>
  </si>
  <si>
    <t>102.0</t>
  </si>
  <si>
    <t>340.8</t>
  </si>
  <si>
    <t>201.0</t>
  </si>
  <si>
    <t>59.0</t>
  </si>
  <si>
    <t>368.8</t>
  </si>
  <si>
    <t>21.0</t>
  </si>
  <si>
    <t>335.0</t>
  </si>
  <si>
    <t>164.3</t>
  </si>
  <si>
    <t>49.0</t>
  </si>
  <si>
    <t>Амурская область</t>
  </si>
  <si>
    <t>79.3</t>
  </si>
  <si>
    <t>69.7</t>
  </si>
  <si>
    <t>57.8</t>
  </si>
  <si>
    <t>70.6</t>
  </si>
  <si>
    <t>38.9</t>
  </si>
  <si>
    <t>36.9</t>
  </si>
  <si>
    <t>Сахалинская область</t>
  </si>
  <si>
    <t>161.7</t>
  </si>
  <si>
    <t>19.0</t>
  </si>
  <si>
    <t>125.3</t>
  </si>
  <si>
    <t>87.3</t>
  </si>
  <si>
    <t>102.3</t>
  </si>
  <si>
    <t>99.1</t>
  </si>
  <si>
    <t>ОЧИЩЕННЫЕ ДАННЫЕ. Сброс сточных вод по субъектам РФ, 2024 г.</t>
  </si>
  <si>
    <t>Забор воды, млн м3</t>
  </si>
  <si>
    <t>Потери воды, млн м3</t>
  </si>
  <si>
    <t>Сброс всего, млн м3</t>
  </si>
  <si>
    <t xml:space="preserve"> </t>
  </si>
  <si>
    <t>Сброс на душу, м3</t>
  </si>
  <si>
    <t>SUM из Сброс загрязн., млн м3</t>
  </si>
  <si>
    <t>AVERAGE из Сброс загрязн., млн м3</t>
  </si>
  <si>
    <t>AVERAGE из Сброс на душу, м3</t>
  </si>
  <si>
    <t>COUNTA из Субъект РФ</t>
  </si>
  <si>
    <t>Случаи высокого и экстремально высокого загрязнения по регионам, I полугодие 2022 г.</t>
  </si>
  <si>
    <t>год</t>
  </si>
  <si>
    <t>регион</t>
  </si>
  <si>
    <t>кол-во случаев высокого загрязнения</t>
  </si>
  <si>
    <t>кол-во случаев экстремально высокого загрязнения</t>
  </si>
  <si>
    <t>всего случаев</t>
  </si>
  <si>
    <t>Республика Северная Осетия - Алания</t>
  </si>
  <si>
    <t>Тюменская область</t>
  </si>
  <si>
    <t>Ханты-Мансийский автономный округ</t>
  </si>
  <si>
    <t>Ямало-Ненецкий автономный округ</t>
  </si>
  <si>
    <t>Итого по регионам</t>
  </si>
  <si>
    <t>Поступление загрязняющих веществ со сточными водами, 1993–2022 гг.</t>
  </si>
  <si>
    <t>объем сброса сточных вод, млрд м3</t>
  </si>
  <si>
    <t>в составе сточных вод сброшено</t>
  </si>
  <si>
    <t>сульфатов, млн т</t>
  </si>
  <si>
    <t>хлоридов, млн т</t>
  </si>
  <si>
    <t>нитратов, тыс. т</t>
  </si>
  <si>
    <t>жиров 
 и масел, тыс. т</t>
  </si>
  <si>
    <t>фенола, т</t>
  </si>
  <si>
    <t>свинца, т</t>
  </si>
  <si>
    <t>ртути, т</t>
  </si>
  <si>
    <t xml:space="preserve">Сброс загрязненных сточных вод по бассейнам рек и морей, 1993–2022 гг., млрд м3                                                                                        </t>
  </si>
  <si>
    <t>всего</t>
  </si>
  <si>
    <t>Бассейн Балтийского моря</t>
  </si>
  <si>
    <t>в том числе бассейн Невы</t>
  </si>
  <si>
    <t>Бассейн 
Черного моря</t>
  </si>
  <si>
    <t>Бассейн 
Азовского моря</t>
  </si>
  <si>
    <t>в том числе бассейн Дона</t>
  </si>
  <si>
    <t>в том числе бассейн Кубани</t>
  </si>
  <si>
    <t>Бассейн Каспийского моря</t>
  </si>
  <si>
    <t>в том числе бассейн Волги</t>
  </si>
  <si>
    <t>Бассейн 
Карского моря</t>
  </si>
  <si>
    <t>в том числе бассейн Енисея</t>
  </si>
  <si>
    <t>в том числе бассейн Оби</t>
  </si>
  <si>
    <t>Бассейн 
Белого моря</t>
  </si>
  <si>
    <t>Сброс загрязненных сточных вод по видам экономической деятельности, 2017–2022 гг. (млн. куб. м.)</t>
  </si>
  <si>
    <t>вид деятельности</t>
  </si>
  <si>
    <t>Всего</t>
  </si>
  <si>
    <t>Сельское и лесное хозяйство</t>
  </si>
  <si>
    <t>Добыча угля</t>
  </si>
  <si>
    <t>Металлургия</t>
  </si>
  <si>
    <t>Химическая промышленность</t>
  </si>
  <si>
    <t>Производство бумаги</t>
  </si>
  <si>
    <t>SUM из 2022</t>
  </si>
  <si>
    <t>SUM из 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</si>
</sst>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0.0"/>
    <numFmt numFmtId="166" formatCode="d-m"/>
    <numFmt numFmtId="167" formatCode="yyyy.m"/>
  </numFmts>
  <fonts count="27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rgb="FF000000"/>
      <name val="Arial"/>
      <scheme val="minor"/>
    </font>
    <font>
      <color rgb="FF000000"/>
      <name val="Inter"/>
    </font>
    <font>
      <color theme="1"/>
      <name val="Arial"/>
      <scheme val="minor"/>
    </font>
    <font>
      <color rgb="FF2E2B29"/>
      <name val="Inter"/>
    </font>
    <font>
      <color rgb="FF2E2B29"/>
      <name val="BaselGroteskMono"/>
    </font>
    <font>
      <b/>
      <sz val="10.0"/>
      <color rgb="FF24292E"/>
      <name val="Arial"/>
      <scheme val="minor"/>
    </font>
    <font>
      <b/>
      <color rgb="FF2E2B29"/>
      <name val="Arial"/>
      <scheme val="minor"/>
    </font>
    <font>
      <color rgb="FF2E2B29"/>
      <name val="Arial"/>
      <scheme val="minor"/>
    </font>
    <font>
      <b/>
      <color rgb="FF000000"/>
      <name val="Inter"/>
    </font>
    <font>
      <sz val="10.0"/>
      <color rgb="FF24292E"/>
      <name val="Arial"/>
      <scheme val="minor"/>
    </font>
    <font>
      <b/>
      <color rgb="FF000000"/>
      <name val="Arial"/>
      <scheme val="minor"/>
    </font>
    <font>
      <b/>
      <color rgb="FF2E2B29"/>
      <name val="Arial"/>
    </font>
    <font>
      <color rgb="FF000000"/>
      <name val="Arial"/>
    </font>
    <font>
      <color rgb="FF252523"/>
      <name val="Inter"/>
    </font>
    <font>
      <b/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24292E"/>
      <name val="Arial"/>
      <scheme val="minor"/>
    </font>
    <font>
      <b/>
      <color rgb="FF252523"/>
      <name val="Arial"/>
      <scheme val="minor"/>
    </font>
    <font>
      <color rgb="FF252523"/>
      <name val="Arial"/>
      <scheme val="minor"/>
    </font>
    <font>
      <b/>
      <color rgb="FF000000"/>
      <name val="Arial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sz val="13.0"/>
      <color rgb="FF000000"/>
      <name val="&quot;Times New Roman&quot;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DCE6F1"/>
        <bgColor rgb="FFDCE6F1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E1DEDB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3" fillId="0" fontId="4" numFmtId="0" xfId="0" applyAlignment="1" applyBorder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2" fillId="0" fontId="3" numFmtId="0" xfId="0" applyAlignment="1" applyBorder="1" applyFont="1">
      <alignment readingOrder="0"/>
    </xf>
    <xf borderId="0" fillId="0" fontId="3" numFmtId="0" xfId="0" applyFont="1"/>
    <xf borderId="3" fillId="0" fontId="6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12" fillId="0" fontId="6" numFmtId="0" xfId="0" applyAlignment="1" applyBorder="1" applyFont="1">
      <alignment readingOrder="0"/>
    </xf>
    <xf borderId="0" fillId="2" fontId="8" numFmtId="0" xfId="0" applyAlignment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readingOrder="0"/>
    </xf>
    <xf borderId="3" fillId="0" fontId="6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3" fillId="3" fontId="6" numFmtId="0" xfId="0" applyAlignment="1" applyBorder="1" applyFill="1" applyFont="1">
      <alignment horizontal="center" readingOrder="0" vertical="center"/>
    </xf>
    <xf borderId="3" fillId="3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3" fillId="4" fontId="5" numFmtId="0" xfId="0" applyAlignment="1" applyBorder="1" applyFill="1" applyFont="1">
      <alignment horizontal="center" vertical="center"/>
    </xf>
    <xf borderId="12" fillId="0" fontId="7" numFmtId="0" xfId="0" applyBorder="1" applyFont="1"/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wrapText="1"/>
    </xf>
    <xf borderId="12" fillId="0" fontId="3" numFmtId="0" xfId="0" applyAlignment="1" applyBorder="1" applyFont="1">
      <alignment readingOrder="0" shrinkToFit="0" wrapText="1"/>
    </xf>
    <xf borderId="1" fillId="2" fontId="8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0" fillId="0" fontId="8" numFmtId="0" xfId="0" applyAlignment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vertical="center"/>
    </xf>
    <xf borderId="0" fillId="0" fontId="5" numFmtId="0" xfId="0" applyAlignment="1" applyFont="1">
      <alignment readingOrder="0" shrinkToFit="0" wrapText="1"/>
    </xf>
    <xf borderId="0" fillId="0" fontId="9" numFmtId="0" xfId="0" applyAlignment="1" applyFont="1">
      <alignment horizontal="center" readingOrder="0" shrinkToFit="0" vertical="center" wrapText="1"/>
    </xf>
    <xf borderId="1" fillId="5" fontId="11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10" numFmtId="0" xfId="0" applyAlignment="1" applyFont="1">
      <alignment horizontal="center" readingOrder="0" vertical="center"/>
    </xf>
    <xf borderId="1" fillId="6" fontId="13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6" fontId="13" numFmtId="0" xfId="0" applyAlignment="1" applyFont="1">
      <alignment horizontal="center" readingOrder="0" vertical="center"/>
    </xf>
    <xf borderId="1" fillId="7" fontId="14" numFmtId="0" xfId="0" applyAlignment="1" applyBorder="1" applyFill="1" applyFont="1">
      <alignment horizontal="center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3" fillId="6" fontId="13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0"/>
    </xf>
    <xf borderId="3" fillId="0" fontId="14" numFmtId="0" xfId="0" applyAlignment="1" applyBorder="1" applyFont="1">
      <alignment horizontal="center" readingOrder="0" vertical="center"/>
    </xf>
    <xf borderId="3" fillId="7" fontId="14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horizontal="center" readingOrder="0" vertical="center"/>
    </xf>
    <xf borderId="3" fillId="6" fontId="3" numFmtId="165" xfId="0" applyAlignment="1" applyBorder="1" applyFont="1" applyNumberFormat="1">
      <alignment horizontal="center" readingOrder="0" vertical="center"/>
    </xf>
    <xf borderId="3" fillId="0" fontId="3" numFmtId="165" xfId="0" applyAlignment="1" applyBorder="1" applyFont="1" applyNumberFormat="1">
      <alignment horizontal="center" readingOrder="0" vertical="center"/>
    </xf>
    <xf borderId="3" fillId="6" fontId="3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vertical="bottom"/>
    </xf>
    <xf borderId="3" fillId="0" fontId="3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3" fillId="7" fontId="15" numFmtId="0" xfId="0" applyAlignment="1" applyBorder="1" applyFont="1">
      <alignment horizontal="center" vertical="center"/>
    </xf>
    <xf borderId="12" fillId="0" fontId="10" numFmtId="0" xfId="0" applyAlignment="1" applyBorder="1" applyFont="1">
      <alignment vertical="bottom"/>
    </xf>
    <xf borderId="12" fillId="0" fontId="16" numFmtId="0" xfId="0" applyAlignment="1" applyBorder="1" applyFont="1">
      <alignment readingOrder="0" shrinkToFit="0" vertical="bottom" wrapText="0"/>
    </xf>
    <xf borderId="3" fillId="6" fontId="3" numFmtId="1" xfId="0" applyAlignment="1" applyBorder="1" applyFont="1" applyNumberFormat="1">
      <alignment horizontal="center" readingOrder="0" vertical="center"/>
    </xf>
    <xf borderId="3" fillId="0" fontId="10" numFmtId="0" xfId="0" applyAlignment="1" applyBorder="1" applyFont="1">
      <alignment vertical="bottom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1" xfId="0" applyAlignment="1" applyBorder="1" applyFont="1" applyNumberFormat="1">
      <alignment horizontal="center" readingOrder="0" vertical="center"/>
    </xf>
    <xf borderId="1" fillId="8" fontId="13" numFmtId="0" xfId="0" applyAlignment="1" applyBorder="1" applyFill="1" applyFont="1">
      <alignment horizontal="center" readingOrder="0" vertical="center"/>
    </xf>
    <xf borderId="1" fillId="8" fontId="17" numFmtId="0" xfId="0" applyAlignment="1" applyBorder="1" applyFont="1">
      <alignment horizontal="center" readingOrder="0" vertical="center"/>
    </xf>
    <xf borderId="0" fillId="0" fontId="10" numFmtId="0" xfId="0" applyAlignment="1" applyFont="1">
      <alignment vertical="bottom"/>
    </xf>
    <xf borderId="3" fillId="8" fontId="13" numFmtId="0" xfId="0" applyAlignment="1" applyBorder="1" applyFont="1">
      <alignment horizontal="center" readingOrder="0" shrinkToFit="0" vertical="center" wrapText="1"/>
    </xf>
    <xf borderId="3" fillId="8" fontId="3" numFmtId="0" xfId="0" applyAlignment="1" applyBorder="1" applyFont="1">
      <alignment horizontal="center" readingOrder="0" shrinkToFit="0" vertical="center" wrapText="1"/>
    </xf>
    <xf borderId="3" fillId="8" fontId="3" numFmtId="0" xfId="0" applyAlignment="1" applyBorder="1" applyFont="1">
      <alignment horizontal="center" readingOrder="0" vertical="center"/>
    </xf>
    <xf borderId="3" fillId="0" fontId="13" numFmtId="166" xfId="0" applyAlignment="1" applyBorder="1" applyFont="1" applyNumberFormat="1">
      <alignment horizontal="center" readingOrder="0" shrinkToFit="0" vertical="center" wrapText="1"/>
    </xf>
    <xf borderId="1" fillId="3" fontId="18" numFmtId="0" xfId="0" applyAlignment="1" applyBorder="1" applyFont="1">
      <alignment horizontal="center" readingOrder="0" shrinkToFit="0" wrapText="1"/>
    </xf>
    <xf borderId="0" fillId="0" fontId="19" numFmtId="0" xfId="0" applyAlignment="1" applyFont="1">
      <alignment horizontal="center" readingOrder="0" shrinkToFit="0" wrapText="1"/>
    </xf>
    <xf borderId="1" fillId="3" fontId="20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3" fillId="3" fontId="13" numFmtId="0" xfId="0" applyAlignment="1" applyBorder="1" applyFont="1">
      <alignment horizontal="center" readingOrder="0" shrinkToFit="0" vertical="center" wrapText="1"/>
    </xf>
    <xf borderId="3" fillId="0" fontId="21" numFmtId="0" xfId="0" applyAlignment="1" applyBorder="1" applyFont="1">
      <alignment horizontal="center" readingOrder="0" shrinkToFit="0" vertical="center" wrapText="1"/>
    </xf>
    <xf borderId="3" fillId="3" fontId="21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3" fillId="3" fontId="10" numFmtId="0" xfId="0" applyAlignment="1" applyBorder="1" applyFont="1">
      <alignment horizontal="center" readingOrder="0" shrinkToFit="0" vertical="center" wrapText="1"/>
    </xf>
    <xf borderId="3" fillId="0" fontId="10" numFmtId="49" xfId="0" applyAlignment="1" applyBorder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164" xfId="0" applyAlignment="1" applyFont="1" applyNumberFormat="1">
      <alignment horizontal="center" readingOrder="0" shrinkToFit="0" vertical="center" wrapText="1"/>
    </xf>
    <xf borderId="12" fillId="0" fontId="16" numFmtId="0" xfId="0" applyAlignment="1" applyBorder="1" applyFont="1">
      <alignment horizontal="center" readingOrder="0" shrinkToFit="0" vertical="center" wrapText="0"/>
    </xf>
    <xf borderId="12" fillId="0" fontId="6" numFmtId="0" xfId="0" applyAlignment="1" applyBorder="1" applyFont="1">
      <alignment horizontal="center" readingOrder="0" vertical="center"/>
    </xf>
    <xf borderId="12" fillId="0" fontId="6" numFmtId="167" xfId="0" applyAlignment="1" applyBorder="1" applyFont="1" applyNumberFormat="1">
      <alignment readingOrder="0"/>
    </xf>
    <xf borderId="12" fillId="0" fontId="6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1"/>
    </xf>
    <xf borderId="1" fillId="9" fontId="13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3" fillId="0" fontId="3" numFmtId="0" xfId="0" applyAlignment="1" applyBorder="1" applyFont="1">
      <alignment horizontal="left" readingOrder="0" vertical="center"/>
    </xf>
    <xf borderId="3" fillId="0" fontId="3" numFmtId="164" xfId="0" applyAlignment="1" applyBorder="1" applyFont="1" applyNumberFormat="1">
      <alignment horizontal="center" readingOrder="0" vertical="center"/>
    </xf>
    <xf borderId="3" fillId="0" fontId="3" numFmtId="167" xfId="0" applyAlignment="1" applyBorder="1" applyFont="1" applyNumberFormat="1">
      <alignment horizontal="center" readingOrder="0" vertical="center"/>
    </xf>
    <xf borderId="0" fillId="0" fontId="5" numFmtId="0" xfId="0" applyFont="1"/>
    <xf borderId="0" fillId="0" fontId="1" numFmtId="0" xfId="0" applyAlignment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12" fillId="0" fontId="22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center"/>
    </xf>
    <xf borderId="16" fillId="0" fontId="5" numFmtId="0" xfId="0" applyAlignment="1" applyBorder="1" applyFont="1">
      <alignment horizontal="center"/>
    </xf>
    <xf borderId="13" fillId="0" fontId="10" numFmtId="0" xfId="0" applyAlignment="1" applyBorder="1" applyFont="1">
      <alignment horizontal="center" readingOrder="0"/>
    </xf>
    <xf borderId="12" fillId="0" fontId="10" numFmtId="0" xfId="0" applyAlignment="1" applyBorder="1" applyFont="1">
      <alignment readingOrder="0"/>
    </xf>
    <xf borderId="17" fillId="0" fontId="5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0" fillId="0" fontId="5" numFmtId="0" xfId="0" applyFont="1"/>
    <xf borderId="1" fillId="9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/>
    </xf>
    <xf borderId="3" fillId="0" fontId="19" numFmtId="0" xfId="0" applyAlignment="1" applyBorder="1" applyFont="1">
      <alignment horizontal="left" readingOrder="0"/>
    </xf>
    <xf borderId="3" fillId="0" fontId="19" numFmtId="1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3" fillId="10" fontId="23" numFmtId="0" xfId="0" applyAlignment="1" applyBorder="1" applyFill="1" applyFont="1">
      <alignment horizontal="left" readingOrder="0"/>
    </xf>
    <xf borderId="3" fillId="10" fontId="23" numFmtId="1" xfId="0" applyAlignment="1" applyBorder="1" applyFont="1" applyNumberFormat="1">
      <alignment horizontal="center" readingOrder="0"/>
    </xf>
    <xf borderId="1" fillId="9" fontId="24" numFmtId="0" xfId="0" applyAlignment="1" applyBorder="1" applyFont="1">
      <alignment horizontal="center" readingOrder="0" vertical="center"/>
    </xf>
    <xf borderId="18" fillId="0" fontId="24" numFmtId="0" xfId="0" applyAlignment="1" applyBorder="1" applyFont="1">
      <alignment horizontal="center" readingOrder="0" vertical="center"/>
    </xf>
    <xf borderId="18" fillId="0" fontId="24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horizontal="center" readingOrder="0" vertical="center"/>
    </xf>
    <xf borderId="19" fillId="0" fontId="2" numFmtId="0" xfId="0" applyBorder="1" applyFont="1"/>
    <xf borderId="3" fillId="0" fontId="24" numFmtId="0" xfId="0" applyAlignment="1" applyBorder="1" applyFont="1">
      <alignment horizontal="center" readingOrder="0" vertical="center"/>
    </xf>
    <xf borderId="3" fillId="0" fontId="25" numFmtId="0" xfId="0" applyAlignment="1" applyBorder="1" applyFont="1">
      <alignment horizontal="center" readingOrder="0" vertical="center"/>
    </xf>
    <xf borderId="20" fillId="0" fontId="25" numFmtId="0" xfId="0" applyAlignment="1" applyBorder="1" applyFont="1">
      <alignment horizontal="center" readingOrder="0" vertical="center"/>
    </xf>
    <xf borderId="8" fillId="0" fontId="25" numFmtId="0" xfId="0" applyAlignment="1" applyBorder="1" applyFont="1">
      <alignment horizontal="center" readingOrder="0" vertical="center"/>
    </xf>
    <xf borderId="1" fillId="9" fontId="26" numFmtId="0" xfId="0" applyAlignment="1" applyBorder="1" applyFont="1">
      <alignment horizontal="center" readingOrder="0" vertical="center"/>
    </xf>
    <xf borderId="3" fillId="0" fontId="25" numFmtId="0" xfId="0" applyAlignment="1" applyBorder="1" applyFont="1">
      <alignment horizontal="center" readingOrder="0" shrinkToFit="0" vertical="center" wrapText="1"/>
    </xf>
    <xf borderId="19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shrinkToFit="0" vertical="center" wrapText="0"/>
    </xf>
    <xf borderId="1" fillId="9" fontId="17" numFmtId="0" xfId="0" applyAlignment="1" applyBorder="1" applyFont="1">
      <alignment horizontal="center" readingOrder="0" vertical="top"/>
    </xf>
    <xf borderId="3" fillId="0" fontId="13" numFmtId="0" xfId="0" applyAlignment="1" applyBorder="1" applyFont="1">
      <alignment readingOrder="0" shrinkToFit="0" vertical="bottom" wrapText="0"/>
    </xf>
    <xf borderId="3" fillId="0" fontId="1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left" readingOrder="0"/>
    </xf>
    <xf borderId="3" fillId="0" fontId="3" numFmtId="165" xfId="0" applyAlignment="1" applyBorder="1" applyFont="1" applyNumberFormat="1">
      <alignment horizontal="center" readingOrder="0"/>
    </xf>
    <xf borderId="0" fillId="0" fontId="5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Софья Менжулина" id="{e6b3e03a-4644-4161-a6aa-1963bce29b4b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J87" sheet="clean_regions"/>
  </cacheSource>
  <cacheFields>
    <cacheField name="Субъект РФ" numFmtId="0">
      <sharedItems>
        <s v="Белгородская область"/>
        <s v="Брянская область"/>
        <s v="Владимирская область"/>
        <s v="Воронежская область"/>
        <s v="Ивановская область"/>
        <s v="Калужская область"/>
        <s v="Костромская область"/>
        <s v="Курская область"/>
        <s v="Липецкая область"/>
        <s v="Московская область"/>
        <s v="Орловская область"/>
        <s v="Рязанская область"/>
        <s v="Смоленская область"/>
        <s v="Тамбовская область"/>
        <s v="Тверская область"/>
        <s v="Тульская область"/>
        <s v="Ярославская область"/>
        <s v="Москва"/>
        <s v="Республика Карелия"/>
        <s v="Республика Коми"/>
        <s v="Ненецкий автономный округ"/>
        <s v="Архангельская область"/>
        <s v="Вологодская область"/>
        <s v="Калининградская область"/>
        <s v="Ленинградская область"/>
        <s v="Мурманская область"/>
        <s v="Новгородская область"/>
        <s v="Псковская область"/>
        <s v="Санкт-Петербург"/>
        <s v="Республика Адыгея"/>
        <s v="Республика Калмыкия"/>
        <s v="Республика Крым"/>
        <s v="Краснодарский край"/>
        <s v="Астраханская область"/>
        <s v="Волгоградская область"/>
        <s v="Ростовская область"/>
        <s v="Севастополь"/>
        <s v="Республика Дагестан"/>
        <s v="Республика Ингушетия"/>
        <s v="Кабардино-Балкарская Республика"/>
        <s v="Карачаево-Черкесская Республика"/>
        <s v="Республика Северная Осетия – Алания"/>
        <s v="Чеченская Республика"/>
        <s v="Ставропольский край"/>
        <s v="Республика Башкортостан"/>
        <s v="Республика Марий Эл"/>
        <s v="Республика Мордовия"/>
        <s v="Республика Татарстан"/>
        <s v="Удмуртская Республика"/>
        <s v="Чувашская Республика"/>
        <s v="Пермский край"/>
        <s v="Кировская область"/>
        <s v="Нижегородская область"/>
        <s v="Оренбургская область"/>
        <s v="Пензенская область"/>
        <s v="Самарская область"/>
        <s v="Саратовская область"/>
        <s v="Ульяновская область"/>
        <s v="Курганская область"/>
        <s v="Свердловская область"/>
        <s v="Тюменская область без АО"/>
        <s v="Ханты-Мансийский АО – Югра"/>
        <s v="Ямало-Ненецкий АО"/>
        <s v="Челябинская область"/>
        <s v="Республика Алтай"/>
        <s v="Республика Тыва"/>
        <s v="Республика Хакасия"/>
        <s v="Алтайский край"/>
        <s v="Красноярский край"/>
        <s v="Иркутская область"/>
        <s v="Кемеровская область"/>
        <s v="Новосибирская область"/>
        <s v="Омская область"/>
        <s v="Томская область"/>
        <s v="Республика Бурятия"/>
        <s v="Республика Саха (Якутия)"/>
        <s v="Забайкальский край"/>
        <s v="Камчатский край"/>
        <s v="Приморский край"/>
        <s v="Хабаровский край"/>
        <s v="Амурская область"/>
        <s v="Магаданская область"/>
        <s v="Сахалинская область"/>
        <s v="Еврейская автономная область"/>
        <s v="Чукотский автономный округ"/>
      </sharedItems>
    </cacheField>
    <cacheField name="Федеральный округ" numFmtId="0">
      <sharedItems>
        <s v="ЦФО"/>
        <s v="СЗФО"/>
        <s v="ЮФО"/>
        <s v="СКФО"/>
        <s v="ПФО"/>
        <s v="УФО"/>
        <s v="СФО"/>
        <s v="ДФО"/>
      </sharedItems>
    </cacheField>
    <cacheField name="Забор воды, млн м3" numFmtId="0">
      <sharedItems containsSemiMixedTypes="0" containsString="0" containsNumber="1">
        <n v="261.8"/>
        <n v="106.5"/>
        <n v="153.6"/>
        <n v="459.4"/>
        <n v="101.0"/>
        <n v="137.2"/>
        <n v="1580.8"/>
        <n v="215.1"/>
        <n v="217.1"/>
        <n v="2793.4"/>
        <n v="77.4"/>
        <n v="164.8"/>
        <n v="152.7"/>
        <n v="122.5"/>
        <n v="1290.2"/>
        <n v="290.4"/>
        <n v="196.6"/>
        <n v="703.6"/>
        <n v="191.7"/>
        <n v="469.8"/>
        <n v="20.4"/>
        <n v="490.8"/>
        <n v="230.1"/>
        <n v="122.0"/>
        <n v="3763.4"/>
        <n v="1617.3"/>
        <n v="105.8"/>
        <n v="117.1"/>
        <n v="935.0"/>
        <n v="168.8"/>
        <n v="319.8"/>
        <n v="301.8"/>
        <n v="4038.6"/>
        <n v="945.6"/>
        <n v="907.7"/>
        <n v="3455.0"/>
        <n v="54.1"/>
        <n v="1192.7"/>
        <n v="50.7"/>
        <n v="405.9"/>
        <n v="2187.4"/>
        <n v="1338.3"/>
        <n v="155.6"/>
        <n v="2943.2"/>
        <n v="825.3"/>
        <n v="75.9"/>
        <n v="60.1"/>
        <n v="888.8"/>
        <n v="289.1"/>
        <n v="95.4"/>
        <n v="1683.7"/>
        <n v="144.5"/>
        <n v="832.8"/>
        <n v="923.8"/>
        <n v="252.1"/>
        <n v="697.9"/>
        <n v="689.8"/>
        <n v="124.7"/>
        <n v="54.7"/>
        <n v="734.3"/>
        <n v="464.9"/>
        <n v="2527.9"/>
        <n v="215.8"/>
        <n v="1013.7"/>
        <n v="10.6"/>
        <n v="35.4"/>
        <n v="62.3"/>
        <n v="467.6"/>
        <n v="2136.5"/>
        <n v="1114.2"/>
        <n v="1491.5"/>
        <n v="687.2"/>
        <n v="217.6"/>
        <n v="357.9"/>
        <n v="690.0"/>
        <n v="198.6"/>
        <n v="219.9"/>
        <n v="163.3"/>
        <n v="564.5"/>
        <n v="368.8"/>
        <n v="79.3"/>
        <n v="70.6"/>
        <n v="161.7"/>
        <n v="22.7"/>
        <n v="102.3"/>
      </sharedItems>
    </cacheField>
    <cacheField name="Потери воды, млн м3" numFmtId="0">
      <sharedItems containsSemiMixedTypes="0" containsString="0" containsNumber="1">
        <n v="16.5"/>
        <n v="13.0"/>
        <n v="15.0"/>
        <n v="17.3"/>
        <n v="15.2"/>
        <n v="23.8"/>
        <n v="8.9"/>
        <n v="7.5"/>
        <n v="33.4"/>
        <n v="350.0"/>
        <n v="8.5"/>
        <n v="5.5"/>
        <n v="12.3"/>
        <n v="8.3"/>
        <n v="26.9"/>
        <n v="65.1"/>
        <n v="18.4"/>
        <n v="1.5"/>
        <n v="6.6"/>
        <n v="10.3"/>
        <n v="0.3"/>
        <n v="10.8"/>
        <n v="5.9"/>
        <n v="40.0"/>
        <n v="10.6"/>
        <n v="13.6"/>
        <n v="4.5"/>
        <n v="58.5"/>
        <n v="14.3"/>
        <n v="126.2"/>
        <n v="97.0"/>
        <n v="945.0"/>
        <n v="143.2"/>
        <n v="153.7"/>
        <n v="639.5"/>
        <n v="16.7"/>
        <n v="593.4"/>
        <n v="14.5"/>
        <n v="117.5"/>
        <n v="602.2"/>
        <n v="409.1"/>
        <n v="701.1"/>
        <n v="56.9"/>
        <n v="3.8"/>
        <n v="6.8"/>
        <n v="58.8"/>
        <n v="18.2"/>
        <n v="3.3"/>
        <n v="45.5"/>
        <n v="3.1"/>
        <n v="62.1"/>
        <n v="26.4"/>
        <n v="28.2"/>
        <n v="110.1"/>
        <n v="75.8"/>
        <n v="16.4"/>
        <n v="13.5"/>
        <n v="111.3"/>
        <n v="11.5"/>
        <n v="10.2"/>
        <n v="5.7"/>
        <n v="88.2"/>
        <n v="2.8"/>
        <n v="5.2"/>
        <n v="15.5"/>
        <n v="16.3"/>
        <n v="82.9"/>
        <n v="62.8"/>
        <n v="41.3"/>
        <n v="37.5"/>
        <n v="29.2"/>
        <n v="6.2"/>
        <n v="10.0"/>
        <n v="7.0"/>
        <n v="14.0"/>
        <n v="14.8"/>
        <n v="102.0"/>
        <n v="21.0"/>
        <n v="3.9"/>
        <n v="1.2"/>
        <n v="19.0"/>
        <n v="2.9"/>
        <n v="0.4"/>
      </sharedItems>
    </cacheField>
    <cacheField name="Сброс всего, млн м3" numFmtId="0">
      <sharedItems containsSemiMixedTypes="0" containsString="0" containsNumber="1">
        <n v="125.6"/>
        <n v="62.8"/>
        <n v="96.0"/>
        <n v="216.3"/>
        <n v="79.2"/>
        <n v="85.8"/>
        <n v="1577.4"/>
        <n v="83.6"/>
        <n v="72.7"/>
        <n v="1207.0"/>
        <n v="49.3"/>
        <n v="118.3"/>
        <n v="66.0"/>
        <n v="54.9"/>
        <n v="1177.9"/>
        <n v="157.4"/>
        <n v="159.7"/>
        <n v="1066.9"/>
        <n v="252.3"/>
        <n v="423.5"/>
        <n v="1.7"/>
        <n v="593.8"/>
        <n v="195.8"/>
        <n v="117.0"/>
        <n v="3683.5"/>
        <n v="1688.4"/>
        <n v="74.3"/>
        <n v="107.0"/>
        <n v="1108.3"/>
        <n v="126.0"/>
        <n v="12.2"/>
        <n v="104.2"/>
        <n v="3395.7"/>
        <n v="225.2"/>
        <n v="124.8"/>
        <n v="1303.1"/>
        <n v="27.9"/>
        <n v="345.0"/>
        <n v="2.6"/>
        <n v="22.7"/>
        <n v="44.8"/>
        <n v="198.0"/>
        <n v="16.0"/>
        <n v="1839.5"/>
        <n v="469.2"/>
        <n v="54.7"/>
        <n v="30.4"/>
        <n v="523.4"/>
        <n v="109.4"/>
        <n v="110.3"/>
        <n v="1518.0"/>
        <n v="88.8"/>
        <n v="824.8"/>
        <n v="805.4"/>
        <n v="220.7"/>
        <n v="402.3"/>
        <n v="187.8"/>
        <n v="115.6"/>
        <n v="31.5"/>
        <n v="668.6"/>
        <n v="328.6"/>
        <n v="492.2"/>
        <n v="31.6"/>
        <n v="732.5"/>
        <n v="3.1"/>
        <n v="13.3"/>
        <n v="92.7"/>
        <n v="353.5"/>
        <n v="1827.6"/>
        <n v="994.6"/>
        <n v="1474.0"/>
        <n v="573.6"/>
        <n v="132.9"/>
        <n v="259.7"/>
        <n v="755.1"/>
        <n v="175.0"/>
        <n v="217.4"/>
        <n v="123.0"/>
        <n v="340.8"/>
        <n v="335.0"/>
        <n v="69.7"/>
        <n v="38.9"/>
        <n v="125.3"/>
        <n v="13.4"/>
        <n v="99.1"/>
      </sharedItems>
    </cacheField>
    <cacheField name="Сброс загрязн., млн м3" numFmtId="0">
      <sharedItems containsSemiMixedTypes="0" containsString="0" containsNumber="1">
        <n v="50.9"/>
        <n v="53.4"/>
        <n v="89.8"/>
        <n v="128.0"/>
        <n v="16.2"/>
        <n v="73.6"/>
        <n v="32.8"/>
        <n v="33.7"/>
        <n v="53.3"/>
        <n v="272.2"/>
        <n v="44.0"/>
        <n v="25.7"/>
        <n v="48.4"/>
        <n v="44.3"/>
        <n v="77.2"/>
        <n v="123.1"/>
        <n v="145.8"/>
        <n v="198.5"/>
        <n v="117.1"/>
        <n v="61.1"/>
        <n v="0.0"/>
        <n v="254.5"/>
        <n v="61.9"/>
        <n v="85.9"/>
        <n v="269.8"/>
        <n v="17.6"/>
        <n v="34.3"/>
        <n v="937.5"/>
        <n v="1.3"/>
        <n v="9.14"/>
        <n v="95.1"/>
        <n v="158.5"/>
        <n v="34.4"/>
        <n v="84.1"/>
        <n v="196.5"/>
        <n v="22.2"/>
        <n v="7.5"/>
        <n v="0.6"/>
        <n v="20.5"/>
        <n v="41.0"/>
        <n v="87.0"/>
        <n v="115.5"/>
        <n v="169.8"/>
        <n v="28.7"/>
        <n v="5.0"/>
        <n v="195.2"/>
        <n v="65.5"/>
        <n v="61.0"/>
        <n v="119.7"/>
        <n v="70.5"/>
        <n v="313.7"/>
        <n v="100.5"/>
        <n v="93.3"/>
        <n v="346.4"/>
        <n v="84.0"/>
        <n v="89.1"/>
        <n v="31.4"/>
        <n v="501.3"/>
        <n v="85.8"/>
        <n v="63.5"/>
        <n v="22.6"/>
        <n v="271.5"/>
        <n v="0.4"/>
        <n v="7.1"/>
        <n v="31.9"/>
        <n v="13.2"/>
        <n v="283.6"/>
        <n v="472.0"/>
        <n v="135.1"/>
        <n v="75.7"/>
        <n v="124.8"/>
        <n v="142.5"/>
        <n v="28.6"/>
        <n v="66.7"/>
        <n v="63.4"/>
        <n v="31.5"/>
        <n v="201.0"/>
        <n v="164.3"/>
        <n v="57.8"/>
        <n v="14.4"/>
        <n v="18.2"/>
        <n v="11.7"/>
        <n v="2.9"/>
      </sharedItems>
    </cacheField>
    <cacheField name="Доля загрязн процент" numFmtId="0">
      <sharedItems containsSemiMixedTypes="0" containsString="0" containsNumber="1">
        <n v="40.6"/>
        <n v="85.1"/>
        <n v="93.6"/>
        <n v="59.2"/>
        <n v="20.5"/>
        <n v="85.7"/>
        <n v="2.1"/>
        <n v="40.4"/>
        <n v="73.4"/>
        <n v="22.6"/>
        <n v="89.1"/>
        <n v="21.7"/>
        <n v="73.2"/>
        <n v="80.6"/>
        <n v="6.6"/>
        <n v="78.2"/>
        <n v="91.3"/>
        <n v="18.6"/>
        <n v="46.4"/>
        <n v="14.4"/>
        <n v="0.0"/>
        <n v="42.9"/>
        <n v="31.6"/>
        <n v="7.3"/>
        <n v="7.6"/>
        <n v="23.7"/>
        <n v="32.0"/>
        <n v="84.6"/>
        <n v="1.0"/>
        <n v="75.0"/>
        <n v="4.7"/>
        <n v="15.3"/>
        <n v="67.4"/>
        <n v="15.1"/>
        <n v="79.4"/>
        <n v="2.2"/>
        <n v="24.5"/>
        <n v="90.4"/>
        <n v="91.4"/>
        <n v="43.9"/>
        <n v="6.3"/>
        <n v="36.2"/>
        <n v="52.5"/>
        <n v="16.4"/>
        <n v="37.7"/>
        <n v="59.8"/>
        <n v="55.3"/>
        <n v="7.9"/>
        <n v="38.0"/>
        <n v="12.5"/>
        <n v="42.3"/>
        <n v="86.1"/>
        <n v="44.7"/>
        <n v="77.0"/>
        <n v="99.7"/>
        <n v="26.1"/>
        <n v="12.9"/>
        <n v="71.3"/>
        <n v="37.1"/>
        <n v="13.1"/>
        <n v="53.3"/>
        <n v="34.4"/>
        <n v="3.7"/>
        <n v="15.5"/>
        <n v="47.5"/>
        <n v="9.2"/>
        <n v="13.2"/>
        <n v="93.9"/>
        <n v="54.8"/>
        <n v="3.8"/>
        <n v="38.1"/>
        <n v="29.2"/>
        <n v="25.6"/>
        <n v="59.0"/>
        <n v="49.0"/>
        <n v="82.9"/>
        <n v="36.9"/>
        <n v="14.5"/>
        <n v="87.3"/>
        <n v="2.9"/>
      </sharedItems>
    </cacheField>
    <cacheField name=" " numFmtId="0">
      <sharedItems containsString="0" containsBlank="1">
        <m/>
      </sharedItems>
    </cacheField>
    <cacheField name="Население, тыс. чел." numFmtId="0">
      <sharedItems containsSemiMixedTypes="0" containsString="0" containsNumber="1" containsInteger="1">
        <n v="1524.0"/>
        <n v="1156.0"/>
        <n v="1318.0"/>
        <n v="2287.0"/>
        <n v="946.0"/>
        <n v="1000.0"/>
        <n v="602.0"/>
        <n v="1068.0"/>
        <n v="1117.0"/>
        <n v="8524.0"/>
        <n v="706.0"/>
        <n v="1072.0"/>
        <n v="893.0"/>
        <n v="956.0"/>
        <n v="1208.0"/>
        <n v="1420.0"/>
        <n v="1221.0"/>
        <n v="13104.0"/>
        <n v="587.0"/>
        <n v="781.0"/>
        <n v="45.0"/>
        <n v="1052.0"/>
        <n v="1120.0"/>
        <n v="1027.0"/>
        <n v="2076.0"/>
        <n v="674.0"/>
        <n v="580.0"/>
        <n v="592.0"/>
        <n v="5600.0"/>
        <n v="497.0"/>
        <n v="267.0"/>
        <n v="1900.0"/>
        <n v="5976.0"/>
        <n v="991.0"/>
        <n v="2442.0"/>
        <n v="4137.0"/>
        <n v="560.0"/>
        <n v="3182.0"/>
        <n v="524.0"/>
        <n v="907.0"/>
        <n v="465.0"/>
        <n v="687.0"/>
        <n v="1541.0"/>
        <n v="2792.0"/>
        <n v="3984.0"/>
        <n v="666.0"/>
        <n v="764.0"/>
        <n v="3980.0"/>
        <n v="1453.0"/>
        <n v="1174.0"/>
        <n v="2556.0"/>
        <n v="1188.0"/>
        <n v="3092.0"/>
        <n v="1867.0"/>
        <n v="1252.0"/>
        <n v="3131.0"/>
        <n v="2330.0"/>
        <n v="1173.0"/>
        <n v="779.0"/>
        <n v="4267.0"/>
        <n v="1730.0"/>
        <n v="513.0"/>
        <n v="1600.0"/>
        <n v="3411.0"/>
        <n v="211.0"/>
        <n v="337.0"/>
        <n v="534.0"/>
        <n v="2268.0"/>
        <n v="2847.0"/>
        <n v="2344.0"/>
        <n v="2573.0"/>
        <n v="2857.0"/>
        <n v="1063.0"/>
        <n v="990.0"/>
        <n v="1001.0"/>
        <n v="291.0"/>
        <n v="1820.0"/>
        <n v="1289.0"/>
        <n v="762.0"/>
        <n v="136.0"/>
        <n v="464.0"/>
        <n v="150.0"/>
        <n v="48.0"/>
      </sharedItems>
    </cacheField>
    <cacheField name="Сброс на душу, м3" numFmtId="0">
      <sharedItems containsSemiMixedTypes="0" containsString="0" containsNumber="1">
        <n v="33.4"/>
        <n v="46.2"/>
        <n v="68.1"/>
        <n v="56.0"/>
        <n v="17.1"/>
        <n v="73.6"/>
        <n v="54.5"/>
        <n v="31.6"/>
        <n v="47.7"/>
        <n v="31.9"/>
        <n v="62.3"/>
        <n v="24.0"/>
        <n v="54.2"/>
        <n v="46.3"/>
        <n v="63.9"/>
        <n v="86.7"/>
        <n v="119.4"/>
        <n v="15.1"/>
        <n v="199.5"/>
        <n v="78.2"/>
        <n v="0.0"/>
        <n v="241.9"/>
        <n v="55.3"/>
        <n v="83.6"/>
        <n v="130.0"/>
        <n v="189.9"/>
        <n v="30.3"/>
        <n v="57.9"/>
        <n v="167.4"/>
        <n v="2.6"/>
        <n v="34.2"/>
        <n v="50.1"/>
        <n v="26.5"/>
        <n v="34.7"/>
        <n v="34.4"/>
        <n v="47.5"/>
        <n v="39.6"/>
        <n v="2.4"/>
        <n v="1.1"/>
        <n v="22.6"/>
        <n v="88.2"/>
        <n v="126.6"/>
        <n v="41.4"/>
        <n v="42.6"/>
        <n v="43.1"/>
        <n v="6.5"/>
        <n v="49.0"/>
        <n v="45.1"/>
        <n v="52.0"/>
        <n v="46.8"/>
        <n v="59.3"/>
        <n v="101.5"/>
        <n v="53.8"/>
        <n v="74.5"/>
        <n v="110.6"/>
        <n v="36.1"/>
        <n v="76.0"/>
        <n v="40.3"/>
        <n v="117.5"/>
        <n v="49.6"/>
        <n v="123.8"/>
        <n v="14.1"/>
        <n v="79.6"/>
        <n v="1.9"/>
        <n v="21.1"/>
        <n v="59.7"/>
        <n v="5.8"/>
        <n v="99.6"/>
        <n v="201.4"/>
        <n v="52.5"/>
        <n v="66.8"/>
        <n v="134.1"/>
        <n v="28.9"/>
        <n v="66.6"/>
        <n v="64.0"/>
        <n v="108.2"/>
        <n v="110.4"/>
        <n v="127.5"/>
        <n v="75.9"/>
        <n v="105.9"/>
        <n v="39.2"/>
        <n v="78.0"/>
        <n v="60.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G12" sheet="raw_industry"/>
  </cacheSource>
  <cacheFields>
    <cacheField name="вид деятельности" numFmtId="0">
      <sharedItems>
        <s v="Всего"/>
        <s v="Сельское и лесное хозяйство"/>
        <s v="Добыча полезных ископаемых"/>
        <s v="Обрабатывающие производства"/>
        <s v="Энергетика"/>
        <s v="Водоснабжение и водоотведение"/>
        <s v="Добыча угля"/>
        <s v="Металлургия"/>
        <s v="Химическая промышленность"/>
        <s v="Производство бумаги"/>
      </sharedItems>
    </cacheField>
    <cacheField name="2017" numFmtId="165">
      <sharedItems containsSemiMixedTypes="0" containsString="0" containsNumber="1">
        <n v="13590.6"/>
        <n v="740.2"/>
        <n v="832.2"/>
        <n v="2402.6"/>
        <n v="1001.1"/>
        <n v="8251.7"/>
        <n v="354.1"/>
        <n v="691.9"/>
        <n v="515.0"/>
        <n v="855.5"/>
      </sharedItems>
    </cacheField>
    <cacheField name="2018" numFmtId="165">
      <sharedItems containsSemiMixedTypes="0" containsString="0" containsNumber="1">
        <n v="13137.8"/>
        <n v="748.3"/>
        <n v="784.5"/>
        <n v="2275.9"/>
        <n v="888.5"/>
        <n v="8100.0"/>
        <n v="340.0"/>
        <n v="637.2"/>
        <n v="499.1"/>
        <n v="796.3"/>
      </sharedItems>
    </cacheField>
    <cacheField name="2019" numFmtId="165">
      <sharedItems containsSemiMixedTypes="0" containsString="0" containsNumber="1">
        <n v="12602.2"/>
        <n v="679.8"/>
        <n v="687.6"/>
        <n v="2088.6"/>
        <n v="933.2"/>
        <n v="7922.2"/>
        <n v="283.1"/>
        <n v="447.8"/>
        <n v="480.2"/>
        <n v="817.2"/>
      </sharedItems>
    </cacheField>
    <cacheField name="2020" numFmtId="165">
      <sharedItems containsSemiMixedTypes="0" containsString="0" containsNumber="1">
        <n v="11797.3"/>
        <n v="479.8"/>
        <n v="496.0"/>
        <n v="1877.3"/>
        <n v="811.8"/>
        <n v="7880.6"/>
        <n v="252.7"/>
        <n v="404.8"/>
        <n v="462.7"/>
        <n v="699.2"/>
      </sharedItems>
    </cacheField>
    <cacheField name="2021" numFmtId="165">
      <sharedItems containsSemiMixedTypes="0" containsString="0" containsNumber="1">
        <n v="11611.5"/>
        <n v="614.5"/>
        <n v="447.9"/>
        <n v="1723.4"/>
        <n v="822.6"/>
        <n v="7760.9"/>
        <n v="215.3"/>
        <n v="365.6"/>
        <n v="425.9"/>
        <n v="632.2"/>
      </sharedItems>
    </cacheField>
    <cacheField name="2022" numFmtId="165">
      <sharedItems containsSemiMixedTypes="0" containsString="0" containsNumber="1">
        <n v="11325.8"/>
        <n v="763.8"/>
        <n v="404.0"/>
        <n v="1704.9"/>
        <n v="804.6"/>
        <n v="7406.3"/>
        <n v="195.2"/>
        <n v="389.7"/>
        <n v="388.0"/>
        <n v="642.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таблица 1" cacheId="0" dataCaption="" rowGrandTotals="0" compact="0" compactData="0">
  <location ref="A1:E9" firstHeaderRow="0" firstDataRow="2" firstDataCol="0"/>
  <pivotFields>
    <pivotField name="Субъект РФ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Федеральный округ" axis="axisRow" compact="0" outline="0" multipleItemSelectionAllowed="1" showAll="0" sortType="ascending">
      <items>
        <item x="7"/>
        <item x="4"/>
        <item x="1"/>
        <item x="3"/>
        <item x="6"/>
        <item x="5"/>
        <item x="0"/>
        <item x="2"/>
        <item t="default"/>
      </items>
    </pivotField>
    <pivotField name="Забор воды, млн м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Потери воды, млн м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Сброс всего, млн м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Сброс загрязн., млн м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Доля загрязн процен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Население, тыс. чел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Сброс на душу, м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</pivotFields>
  <rowFields>
    <field x="1"/>
  </rowFields>
  <colFields>
    <field x="-2"/>
  </colFields>
  <dataFields>
    <dataField name="SUM of Сброс загрязн., млн м3" fld="5" baseField="0"/>
    <dataField name="AVERAGE of Сброс загрязн., млн м3" fld="5" subtotal="average" baseField="0"/>
    <dataField name="AVERAGE of Сброс на душу, м3" fld="9" subtotal="average" baseField="0"/>
    <dataField name="COUNTA of Субъект РФ" fld="0" subtotal="count" baseField="0"/>
  </dataFields>
</pivotTableDefinition>
</file>

<file path=xl/pivotTables/pivotTable2.xml><?xml version="1.0" encoding="utf-8"?>
<pivotTableDefinition xmlns="http://schemas.openxmlformats.org/spreadsheetml/2006/main" name="Сводная таблица 3" cacheId="1" dataCaption="" rowGrandTotals="0" compact="0" compactData="0">
  <location ref="A1:C11" firstHeaderRow="0" firstDataRow="2" firstDataCol="0"/>
  <pivotFields>
    <pivotField name="вид деятельности" axis="axisRow" compact="0" outline="0" multipleItemSelectionAllowed="1" showAll="0" sortType="ascending">
      <items>
        <item x="5"/>
        <item x="0"/>
        <item x="2"/>
        <item x="6"/>
        <item x="7"/>
        <item x="3"/>
        <item x="9"/>
        <item x="1"/>
        <item x="8"/>
        <item x="4"/>
        <item t="default"/>
      </items>
    </pivotField>
    <pivotField name="2017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2018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2019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2020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202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2022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-2"/>
  </colFields>
  <dataFields>
    <dataField name="SUM of 2022" fld="6" baseField="0"/>
    <dataField name="SUM of 2017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9" dT="2026-03-26T01:24:36.00" personId="{e6b3e03a-4644-4161-a6aa-1963bce29b4b}" id="{30325c1e-a5fc-4b4d-9384-ac103825ac39}" done="1">
    <x18tc:text xml:space="preserve">Показывает, где почти все сбрасываемые воды загрязнённые.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5" width="25.13"/>
  </cols>
  <sheetData>
    <row r="1">
      <c r="A1" s="1" t="s">
        <v>0</v>
      </c>
      <c r="B1" s="2"/>
    </row>
    <row r="2">
      <c r="A2" s="3" t="s">
        <v>1</v>
      </c>
      <c r="B2" s="4">
        <f>COUNTA(clean_regions!A3:A87)</f>
        <v>85</v>
      </c>
      <c r="D2" s="5" t="s">
        <v>2</v>
      </c>
      <c r="E2" s="6"/>
      <c r="F2" s="6"/>
      <c r="G2" s="6"/>
      <c r="H2" s="6"/>
      <c r="I2" s="7"/>
    </row>
    <row r="3">
      <c r="A3" s="3" t="s">
        <v>3</v>
      </c>
      <c r="B3" s="4">
        <f>SUM(clean_regions!F3:F87)</f>
        <v>9017.24</v>
      </c>
      <c r="D3" s="8"/>
      <c r="I3" s="9"/>
    </row>
    <row r="4">
      <c r="A4" s="3" t="s">
        <v>4</v>
      </c>
      <c r="B4" s="4">
        <f>ROUND(AVERAGE(clean_regions!F3:F87), 1)</f>
        <v>106.1</v>
      </c>
      <c r="D4" s="8"/>
      <c r="I4" s="9"/>
    </row>
    <row r="5">
      <c r="A5" s="3" t="s">
        <v>5</v>
      </c>
      <c r="B5" s="4">
        <f>ROUND(MEDIAN(clean_regions!F3:F87), 1)</f>
        <v>65.5</v>
      </c>
      <c r="D5" s="8"/>
      <c r="I5" s="9"/>
    </row>
    <row r="6">
      <c r="A6" s="10" t="s">
        <v>6</v>
      </c>
      <c r="B6" s="10">
        <f>MODE(clean_regions!F3:F87)</f>
        <v>128</v>
      </c>
      <c r="D6" s="8"/>
      <c r="I6" s="9"/>
    </row>
    <row r="7">
      <c r="A7" s="3" t="s">
        <v>7</v>
      </c>
      <c r="B7" s="4">
        <f>MIN(clean_regions!F3:F87)</f>
        <v>0</v>
      </c>
      <c r="D7" s="8"/>
      <c r="I7" s="9"/>
    </row>
    <row r="8">
      <c r="A8" s="10" t="s">
        <v>8</v>
      </c>
      <c r="B8" s="10" t="str">
        <f t="array" ref="B8">INDEX(clean_regions!A3:A87, MATCH(MIN(clean_regions!F3:F87), clean_regions!F3:F87, 0))</f>
        <v>Ненецкий автономный округ</v>
      </c>
      <c r="D8" s="8"/>
      <c r="I8" s="9"/>
    </row>
    <row r="9">
      <c r="A9" s="3" t="s">
        <v>9</v>
      </c>
      <c r="B9" s="4">
        <f>MAX(clean_regions!F3:F87)</f>
        <v>937.5</v>
      </c>
      <c r="D9" s="8"/>
      <c r="I9" s="9"/>
    </row>
    <row r="10">
      <c r="A10" s="10" t="s">
        <v>10</v>
      </c>
      <c r="B10" s="10" t="str">
        <f t="array" ref="B10">INDEX(clean_regions!A3:A87, MATCH(MAX(clean_regions!F3:F87), clean_regions!F3:F87, 0))</f>
        <v>Санкт-Петербург</v>
      </c>
      <c r="D10" s="8"/>
      <c r="I10" s="9"/>
    </row>
    <row r="11">
      <c r="A11" s="10" t="s">
        <v>11</v>
      </c>
      <c r="B11" s="10">
        <f>ROUND(B9-B7, 1)</f>
        <v>937.5</v>
      </c>
      <c r="D11" s="8"/>
      <c r="I11" s="9"/>
    </row>
    <row r="12">
      <c r="A12" s="3" t="s">
        <v>12</v>
      </c>
      <c r="B12" s="4">
        <f>ROUND(STDEV(clean_regions!F3:F87), 1)</f>
        <v>135.7</v>
      </c>
      <c r="D12" s="11"/>
      <c r="E12" s="12"/>
      <c r="F12" s="12"/>
      <c r="G12" s="12"/>
      <c r="H12" s="12"/>
      <c r="I12" s="13"/>
    </row>
    <row r="13">
      <c r="A13" s="14"/>
      <c r="B13" s="15"/>
      <c r="D13" s="16"/>
      <c r="E13" s="16"/>
      <c r="F13" s="17"/>
      <c r="G13" s="17"/>
    </row>
    <row r="14">
      <c r="A14" s="1" t="s">
        <v>13</v>
      </c>
      <c r="B14" s="2"/>
      <c r="D14" s="16"/>
      <c r="E14" s="16"/>
      <c r="F14" s="17"/>
      <c r="G14" s="17"/>
    </row>
    <row r="15">
      <c r="A15" s="18" t="s">
        <v>14</v>
      </c>
      <c r="B15" s="19">
        <f>ROUND(AVERAGE(clean_regions!J3:J87), 1)</f>
        <v>64.4</v>
      </c>
      <c r="D15" s="16"/>
      <c r="E15" s="16"/>
      <c r="F15" s="17"/>
      <c r="G15" s="17"/>
    </row>
    <row r="16">
      <c r="A16" s="18" t="s">
        <v>15</v>
      </c>
      <c r="B16" s="19">
        <f>ROUND(MEDIAN(clean_regions!J3:J87), 1)</f>
        <v>53.8</v>
      </c>
      <c r="D16" s="20"/>
      <c r="E16" s="20"/>
      <c r="F16" s="17"/>
      <c r="G16" s="17"/>
    </row>
    <row r="17">
      <c r="A17" s="18" t="s">
        <v>16</v>
      </c>
      <c r="B17" s="19">
        <f>MIN(clean_regions!J3:J87)</f>
        <v>0</v>
      </c>
    </row>
    <row r="18">
      <c r="A18" s="18" t="s">
        <v>8</v>
      </c>
      <c r="B18" s="19" t="str">
        <f t="array" ref="B18">INDEX(clean_regions!A3:A87, MATCH(MIN(clean_regions!J3:J87), clean_regions!J3:J87, 0))</f>
        <v>Ненецкий автономный округ</v>
      </c>
    </row>
    <row r="19">
      <c r="A19" s="18" t="s">
        <v>17</v>
      </c>
      <c r="B19" s="19">
        <f>MAX(clean_regions!J3:J87)</f>
        <v>241.9</v>
      </c>
    </row>
    <row r="20">
      <c r="A20" s="18" t="s">
        <v>10</v>
      </c>
      <c r="B20" s="19" t="str">
        <f t="array" ref="B20">INDEX(clean_regions!A3:A87, MATCH(MAX(clean_regions!J3:J87), clean_regions!J3:J87, 0))</f>
        <v>Архангельская область</v>
      </c>
    </row>
    <row r="21">
      <c r="A21" s="21"/>
      <c r="B21" s="21"/>
    </row>
    <row r="22">
      <c r="A22" s="22" t="s">
        <v>18</v>
      </c>
    </row>
    <row r="23">
      <c r="A23" s="23" t="s">
        <v>19</v>
      </c>
      <c r="B23" s="23" t="s">
        <v>20</v>
      </c>
      <c r="C23" s="23" t="s">
        <v>21</v>
      </c>
      <c r="D23" s="23" t="s">
        <v>22</v>
      </c>
      <c r="E23" s="24" t="s">
        <v>23</v>
      </c>
      <c r="F23" s="25" t="s">
        <v>24</v>
      </c>
    </row>
    <row r="24">
      <c r="A24" s="26" t="s">
        <v>25</v>
      </c>
      <c r="B24" s="26">
        <f>SUMIFS(clean_regions!F3:F87,clean_regions!B3:B87,"ЦФО")</f>
        <v>1510.9</v>
      </c>
      <c r="C24" s="27">
        <f>ROUND(AVERAGEIFS(clean_regions!F3:F87,clean_regions!B3:B87,"ЦФО"),1)</f>
        <v>83.9</v>
      </c>
      <c r="D24" s="27">
        <f>ROUND(AVERAGEIFS(clean_regions!J3:J87,clean_regions!B3:B87,"ЦФО"),1)</f>
        <v>51.8</v>
      </c>
      <c r="E24" s="28">
        <f>COUNTIF(clean_regions!B3:B87,"ЦФО")</f>
        <v>18</v>
      </c>
      <c r="F24" s="29">
        <f t="shared" ref="F24:F31" si="1">ROUND(B24/SUM($B$24:$B$31)*100, 1)</f>
        <v>16.8</v>
      </c>
    </row>
    <row r="25">
      <c r="A25" s="26" t="s">
        <v>26</v>
      </c>
      <c r="B25" s="30">
        <f>SUMIFS(clean_regions!F3:F87,clean_regions!B3:B87,"СЗФО")</f>
        <v>1967.7</v>
      </c>
      <c r="C25" s="31">
        <f>ROUND(AVERAGEIFS(clean_regions!F3:F87,clean_regions!B3:B87,"СЗФО"),1)</f>
        <v>178.9</v>
      </c>
      <c r="D25" s="31">
        <f>ROUND(AVERAGEIFS(clean_regions!J3:J87,clean_regions!B3:B87,"СЗФО"),1)</f>
        <v>112.2</v>
      </c>
      <c r="E25" s="28">
        <f>COUNTIF(clean_regions!B3:B87,"СЗФО")</f>
        <v>11</v>
      </c>
      <c r="F25" s="29">
        <f t="shared" si="1"/>
        <v>21.8</v>
      </c>
    </row>
    <row r="26">
      <c r="A26" s="26" t="s">
        <v>27</v>
      </c>
      <c r="B26" s="26">
        <f>SUMIFS(clean_regions!F3:F87,clean_regions!B3:B87,"ЮФО")</f>
        <v>601.24</v>
      </c>
      <c r="C26" s="27">
        <f>ROUND(AVERAGEIFS(clean_regions!F3:F87,clean_regions!B3:B87,"ЮФО"),1)</f>
        <v>75.2</v>
      </c>
      <c r="D26" s="27">
        <f>ROUND(AVERAGEIFS(clean_regions!J3:J87,clean_regions!B3:B87,"ЮФО"),1)</f>
        <v>33.7</v>
      </c>
      <c r="E26" s="28">
        <f>COUNTIF(clean_regions!B3:B87,"ЮФО")</f>
        <v>8</v>
      </c>
      <c r="F26" s="29">
        <f t="shared" si="1"/>
        <v>6.7</v>
      </c>
    </row>
    <row r="27">
      <c r="A27" s="32" t="s">
        <v>28</v>
      </c>
      <c r="B27" s="27">
        <f>SUMIFS(clean_regions!F3:F87,clean_regions!B3:B87,"СКФО")</f>
        <v>272.1</v>
      </c>
      <c r="C27" s="27">
        <f>ROUND(AVERAGEIFS(clean_regions!F3:F87,clean_regions!B3:B87,"СКФО"),1)</f>
        <v>38.9</v>
      </c>
      <c r="D27" s="27">
        <f>ROUND(AVERAGEIFS(clean_regions!J3:J87,clean_regions!B3:B87,"СКФО"),1)</f>
        <v>40.3</v>
      </c>
      <c r="E27" s="28">
        <f>COUNTIF(clean_regions!B3:B87,"СКФО")</f>
        <v>7</v>
      </c>
      <c r="F27" s="29">
        <f t="shared" si="1"/>
        <v>3</v>
      </c>
    </row>
    <row r="28">
      <c r="A28" s="32" t="s">
        <v>29</v>
      </c>
      <c r="B28" s="33">
        <f>SUMIFS(clean_regions!F3:F87,clean_regions!B3:B87,"ПФО")</f>
        <v>1742.4</v>
      </c>
      <c r="C28" s="27">
        <f>ROUND(AVERAGEIFS(clean_regions!F3:F87,clean_regions!B3:B87,"ПФО"),1)</f>
        <v>124.5</v>
      </c>
      <c r="D28" s="27">
        <f>ROUND(AVERAGEIFS(clean_regions!J3:J87,clean_regions!B3:B87,"ПФО"),1)</f>
        <v>56.9</v>
      </c>
      <c r="E28" s="28">
        <f>COUNTIF(clean_regions!B3:B87,"ПФО")</f>
        <v>14</v>
      </c>
      <c r="F28" s="29">
        <f t="shared" si="1"/>
        <v>19.3</v>
      </c>
    </row>
    <row r="29">
      <c r="A29" s="26" t="s">
        <v>30</v>
      </c>
      <c r="B29" s="26">
        <f>SUMIFS(clean_regions!F3:F87,clean_regions!B3:B87,"УФО")</f>
        <v>976.1</v>
      </c>
      <c r="C29" s="33">
        <f>ROUND(AVERAGEIFS(clean_regions!F3:F87,clean_regions!B3:B87,"УФО"),1)</f>
        <v>162.7</v>
      </c>
      <c r="D29" s="27">
        <f>ROUND(AVERAGEIFS(clean_regions!J3:J87,clean_regions!B3:B87,"УФО"),1)</f>
        <v>70.8</v>
      </c>
      <c r="E29" s="28">
        <f>COUNTIF(clean_regions!B3:B87,"УФО")</f>
        <v>6</v>
      </c>
      <c r="F29" s="29">
        <f t="shared" si="1"/>
        <v>10.8</v>
      </c>
    </row>
    <row r="30">
      <c r="A30" s="32" t="s">
        <v>31</v>
      </c>
      <c r="B30" s="27">
        <f>SUMIFS(clean_regions!F3:F87,clean_regions!B3:B87,"СФО")</f>
        <v>1286.3</v>
      </c>
      <c r="C30" s="27">
        <f>ROUND(AVERAGEIFS(clean_regions!F3:F87,clean_regions!B3:B87,"СФО"),1)</f>
        <v>128.6</v>
      </c>
      <c r="D30" s="27">
        <f>ROUND(AVERAGEIFS(clean_regions!J3:J87,clean_regions!B3:B87,"СФО"),1)</f>
        <v>66.9</v>
      </c>
      <c r="E30" s="28">
        <f>COUNTIF(clean_regions!B3:B87,"СФО")</f>
        <v>10</v>
      </c>
      <c r="F30" s="29">
        <f t="shared" si="1"/>
        <v>14.3</v>
      </c>
    </row>
    <row r="31">
      <c r="A31" s="32" t="s">
        <v>32</v>
      </c>
      <c r="B31" s="27">
        <f>SUMIFS(clean_regions!F3:F87,clean_regions!B3:B87,"ДФО")</f>
        <v>660.5</v>
      </c>
      <c r="C31" s="27">
        <f>ROUND(AVERAGEIFS(clean_regions!F3:F87,clean_regions!B3:B87,"ДФО"),1)</f>
        <v>60</v>
      </c>
      <c r="D31" s="33">
        <f>ROUND(AVERAGEIFS(clean_regions!J3:J87,clean_regions!B3:B87,"ДФО"),1)</f>
        <v>78.6</v>
      </c>
      <c r="E31" s="28">
        <f>COUNTIF(clean_regions!B3:B87,"ДФО")</f>
        <v>11</v>
      </c>
      <c r="F31" s="29">
        <f t="shared" si="1"/>
        <v>7.3</v>
      </c>
    </row>
    <row r="32">
      <c r="A32" s="21"/>
      <c r="B32" s="34"/>
    </row>
    <row r="33" ht="240.0" customHeight="1">
      <c r="A33" s="35" t="s">
        <v>33</v>
      </c>
    </row>
    <row r="34">
      <c r="A34" s="36"/>
      <c r="B34" s="36"/>
      <c r="C34" s="36"/>
      <c r="D34" s="37"/>
      <c r="E34" s="37"/>
    </row>
    <row r="35">
      <c r="A35" s="38" t="s">
        <v>34</v>
      </c>
      <c r="B35" s="39"/>
      <c r="C35" s="2"/>
      <c r="D35" s="40"/>
      <c r="E35" s="40"/>
    </row>
    <row r="36">
      <c r="A36" s="41" t="s">
        <v>35</v>
      </c>
      <c r="B36" s="41" t="s">
        <v>36</v>
      </c>
      <c r="C36" s="41" t="s">
        <v>37</v>
      </c>
    </row>
    <row r="37">
      <c r="A37" s="42" t="s">
        <v>38</v>
      </c>
      <c r="B37" s="42">
        <v>7406.3</v>
      </c>
      <c r="C37" s="43">
        <f>ROUND(B37/SUM(B37:B42)*100, 1)</f>
        <v>65.4</v>
      </c>
    </row>
    <row r="38">
      <c r="A38" s="42" t="s">
        <v>39</v>
      </c>
      <c r="B38" s="42">
        <v>1704.9</v>
      </c>
      <c r="C38" s="43">
        <f>ROUND(B38/SUM(B37:B42)*100, 1)</f>
        <v>15.1</v>
      </c>
    </row>
    <row r="39">
      <c r="A39" s="42" t="s">
        <v>40</v>
      </c>
      <c r="B39" s="42">
        <v>804.6</v>
      </c>
      <c r="C39" s="43">
        <f>ROUND(B39/SUM(B37:B42)*100, 1)</f>
        <v>7.1</v>
      </c>
    </row>
    <row r="40">
      <c r="A40" s="42" t="s">
        <v>41</v>
      </c>
      <c r="B40" s="42">
        <v>763.8</v>
      </c>
      <c r="C40" s="43">
        <f>ROUND(B40/SUM(B37:B42)*100, 1)</f>
        <v>6.7</v>
      </c>
    </row>
    <row r="41">
      <c r="A41" s="42" t="s">
        <v>42</v>
      </c>
      <c r="B41" s="42">
        <v>404.0</v>
      </c>
      <c r="C41" s="43">
        <f>ROUND(B41/SUM(B37:B42)*100, 1)</f>
        <v>3.6</v>
      </c>
    </row>
    <row r="42">
      <c r="A42" s="42" t="s">
        <v>43</v>
      </c>
      <c r="B42" s="42">
        <v>242.2</v>
      </c>
      <c r="C42" s="43">
        <f>ROUND(B42/SUM(B37:B42)*100, 1)</f>
        <v>2.1</v>
      </c>
    </row>
    <row r="44">
      <c r="A44" s="44" t="s">
        <v>44</v>
      </c>
    </row>
    <row r="46">
      <c r="A46" s="38" t="s">
        <v>45</v>
      </c>
      <c r="B46" s="39"/>
      <c r="C46" s="39"/>
      <c r="D46" s="2"/>
      <c r="E46" s="40"/>
    </row>
    <row r="47">
      <c r="A47" s="24"/>
      <c r="B47" s="39"/>
      <c r="C47" s="39"/>
      <c r="D47" s="2"/>
      <c r="E47" s="45"/>
    </row>
    <row r="48">
      <c r="A48" s="46" t="s">
        <v>46</v>
      </c>
      <c r="B48" s="39"/>
      <c r="C48" s="39"/>
      <c r="D48" s="2"/>
      <c r="E48" s="47"/>
    </row>
    <row r="49">
      <c r="A49" s="41" t="s">
        <v>47</v>
      </c>
      <c r="B49" s="41">
        <v>1993.0</v>
      </c>
      <c r="C49" s="41">
        <v>2022.0</v>
      </c>
      <c r="D49" s="41" t="s">
        <v>48</v>
      </c>
      <c r="E49" s="15"/>
    </row>
    <row r="50">
      <c r="A50" s="42" t="s">
        <v>49</v>
      </c>
      <c r="B50" s="42">
        <v>68.2</v>
      </c>
      <c r="C50" s="42">
        <v>36.2</v>
      </c>
      <c r="D50" s="43">
        <f t="shared" ref="D50:D57" si="2">ROUND((C50-B50)/B50*100, 1)</f>
        <v>-46.9</v>
      </c>
      <c r="E50" s="15"/>
    </row>
    <row r="51">
      <c r="A51" s="42" t="s">
        <v>50</v>
      </c>
      <c r="B51" s="42">
        <v>5.7</v>
      </c>
      <c r="C51" s="42">
        <v>1.6</v>
      </c>
      <c r="D51" s="43">
        <f t="shared" si="2"/>
        <v>-71.9</v>
      </c>
      <c r="E51" s="15"/>
    </row>
    <row r="52">
      <c r="A52" s="42" t="s">
        <v>51</v>
      </c>
      <c r="B52" s="42">
        <v>8.4</v>
      </c>
      <c r="C52" s="42">
        <v>6.2</v>
      </c>
      <c r="D52" s="43">
        <f t="shared" si="2"/>
        <v>-26.2</v>
      </c>
      <c r="E52" s="15"/>
    </row>
    <row r="53">
      <c r="A53" s="42" t="s">
        <v>52</v>
      </c>
      <c r="B53" s="42">
        <v>140.6</v>
      </c>
      <c r="C53" s="42">
        <v>360.5</v>
      </c>
      <c r="D53" s="43">
        <f t="shared" si="2"/>
        <v>156.4</v>
      </c>
      <c r="E53" s="15"/>
    </row>
    <row r="54">
      <c r="A54" s="42" t="s">
        <v>53</v>
      </c>
      <c r="B54" s="42">
        <v>30.9</v>
      </c>
      <c r="C54" s="42">
        <v>0.4</v>
      </c>
      <c r="D54" s="43">
        <f t="shared" si="2"/>
        <v>-98.7</v>
      </c>
      <c r="E54" s="15"/>
    </row>
    <row r="55">
      <c r="A55" s="42" t="s">
        <v>54</v>
      </c>
      <c r="B55" s="42">
        <v>130.6</v>
      </c>
      <c r="C55" s="42">
        <v>20.0</v>
      </c>
      <c r="D55" s="43">
        <f t="shared" si="2"/>
        <v>-84.7</v>
      </c>
      <c r="E55" s="15"/>
    </row>
    <row r="56">
      <c r="A56" s="42" t="s">
        <v>55</v>
      </c>
      <c r="B56" s="42">
        <v>118.1</v>
      </c>
      <c r="C56" s="42">
        <v>8.6</v>
      </c>
      <c r="D56" s="43">
        <f t="shared" si="2"/>
        <v>-92.7</v>
      </c>
    </row>
    <row r="57">
      <c r="A57" s="42" t="s">
        <v>56</v>
      </c>
      <c r="B57" s="42">
        <v>12.4</v>
      </c>
      <c r="C57" s="42">
        <v>0.01</v>
      </c>
      <c r="D57" s="43">
        <f t="shared" si="2"/>
        <v>-99.9</v>
      </c>
      <c r="E57" s="35"/>
    </row>
    <row r="58">
      <c r="A58" s="48"/>
      <c r="B58" s="15"/>
      <c r="C58" s="15"/>
      <c r="D58" s="15"/>
    </row>
    <row r="59">
      <c r="A59" s="49" t="s">
        <v>57</v>
      </c>
    </row>
    <row r="61">
      <c r="A61" s="46" t="s">
        <v>58</v>
      </c>
      <c r="B61" s="39"/>
      <c r="C61" s="39"/>
      <c r="D61" s="2"/>
    </row>
    <row r="62">
      <c r="A62" s="41" t="s">
        <v>59</v>
      </c>
      <c r="B62" s="41">
        <v>1993.0</v>
      </c>
      <c r="C62" s="41">
        <v>2022.0</v>
      </c>
      <c r="D62" s="41" t="s">
        <v>48</v>
      </c>
    </row>
    <row r="63">
      <c r="A63" s="42" t="s">
        <v>60</v>
      </c>
      <c r="B63" s="42">
        <v>10.2</v>
      </c>
      <c r="C63" s="42">
        <v>4.3</v>
      </c>
      <c r="D63" s="43">
        <f t="shared" ref="D63:D70" si="3">ROUND((C63-B63)/B63*100, 1)</f>
        <v>-57.8</v>
      </c>
    </row>
    <row r="64">
      <c r="A64" s="42" t="s">
        <v>61</v>
      </c>
      <c r="B64" s="42">
        <v>12.1</v>
      </c>
      <c r="C64" s="42">
        <v>4.7</v>
      </c>
      <c r="D64" s="43">
        <f t="shared" si="3"/>
        <v>-61.2</v>
      </c>
    </row>
    <row r="65">
      <c r="A65" s="42" t="s">
        <v>62</v>
      </c>
      <c r="B65" s="42">
        <v>2.5</v>
      </c>
      <c r="C65" s="42">
        <v>1.5</v>
      </c>
      <c r="D65" s="43">
        <f t="shared" si="3"/>
        <v>-40</v>
      </c>
    </row>
    <row r="66">
      <c r="A66" s="42" t="s">
        <v>63</v>
      </c>
      <c r="B66" s="42">
        <v>3.0</v>
      </c>
      <c r="C66" s="42">
        <v>1.4</v>
      </c>
      <c r="D66" s="43">
        <f t="shared" si="3"/>
        <v>-53.3</v>
      </c>
    </row>
    <row r="67">
      <c r="A67" s="42" t="s">
        <v>64</v>
      </c>
      <c r="B67" s="42">
        <v>1.6</v>
      </c>
      <c r="C67" s="42">
        <v>0.9</v>
      </c>
      <c r="D67" s="43">
        <f t="shared" si="3"/>
        <v>-43.8</v>
      </c>
    </row>
    <row r="68">
      <c r="A68" s="42" t="s">
        <v>65</v>
      </c>
      <c r="B68" s="42">
        <v>2.0</v>
      </c>
      <c r="C68" s="42">
        <v>0.7</v>
      </c>
      <c r="D68" s="43">
        <f t="shared" si="3"/>
        <v>-65</v>
      </c>
    </row>
    <row r="69">
      <c r="A69" s="42" t="s">
        <v>66</v>
      </c>
      <c r="B69" s="42">
        <v>1.4</v>
      </c>
      <c r="C69" s="42">
        <v>0.5</v>
      </c>
      <c r="D69" s="43">
        <f t="shared" si="3"/>
        <v>-64.3</v>
      </c>
    </row>
    <row r="70">
      <c r="A70" s="42" t="s">
        <v>67</v>
      </c>
      <c r="B70" s="42">
        <v>1.0</v>
      </c>
      <c r="C70" s="42">
        <v>0.4</v>
      </c>
      <c r="D70" s="43">
        <f t="shared" si="3"/>
        <v>-60</v>
      </c>
    </row>
    <row r="72">
      <c r="A72" s="49" t="s">
        <v>68</v>
      </c>
    </row>
    <row r="74">
      <c r="A74" s="50"/>
    </row>
    <row r="75">
      <c r="A75" s="51"/>
      <c r="B75" s="51"/>
      <c r="C75" s="51"/>
      <c r="D75" s="51"/>
    </row>
    <row r="76">
      <c r="A76" s="52"/>
      <c r="B76" s="51"/>
      <c r="C76" s="51"/>
      <c r="D76" s="53"/>
    </row>
    <row r="77">
      <c r="A77" s="52"/>
      <c r="B77" s="51"/>
      <c r="C77" s="51"/>
      <c r="D77" s="53"/>
    </row>
    <row r="78">
      <c r="A78" s="52"/>
      <c r="B78" s="51"/>
      <c r="C78" s="51"/>
      <c r="D78" s="53"/>
    </row>
    <row r="79">
      <c r="A79" s="52"/>
      <c r="B79" s="51"/>
      <c r="C79" s="51"/>
      <c r="D79" s="53"/>
    </row>
    <row r="80">
      <c r="A80" s="52"/>
      <c r="B80" s="51"/>
      <c r="C80" s="51"/>
      <c r="D80" s="53"/>
    </row>
    <row r="81">
      <c r="A81" s="52"/>
      <c r="B81" s="51"/>
      <c r="C81" s="51"/>
      <c r="D81" s="53"/>
    </row>
    <row r="82">
      <c r="A82" s="54"/>
      <c r="B82" s="54"/>
      <c r="C82" s="54"/>
      <c r="D82" s="48"/>
    </row>
    <row r="83">
      <c r="A83" s="54"/>
      <c r="B83" s="54"/>
      <c r="C83" s="54"/>
      <c r="D83" s="48"/>
    </row>
  </sheetData>
  <mergeCells count="14">
    <mergeCell ref="A46:D46"/>
    <mergeCell ref="A47:D47"/>
    <mergeCell ref="A48:D48"/>
    <mergeCell ref="A59:D59"/>
    <mergeCell ref="A61:D61"/>
    <mergeCell ref="A72:D72"/>
    <mergeCell ref="A74:D74"/>
    <mergeCell ref="A1:B1"/>
    <mergeCell ref="D2:I12"/>
    <mergeCell ref="A14:B14"/>
    <mergeCell ref="A22:E22"/>
    <mergeCell ref="A33:E33"/>
    <mergeCell ref="A35:C35"/>
    <mergeCell ref="A44:C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5.13"/>
    <col customWidth="1" min="3" max="3" width="13.88"/>
    <col customWidth="1" min="4" max="4" width="14.88"/>
    <col customWidth="1" min="5" max="5" width="13.88"/>
    <col customWidth="1" min="7" max="7" width="6.38"/>
    <col customWidth="1" min="8" max="8" width="25.13"/>
    <col customWidth="1" min="9" max="9" width="13.38"/>
    <col customWidth="1" min="10" max="10" width="14.0"/>
    <col customWidth="1" min="14" max="14" width="20.38"/>
    <col customWidth="1" min="15" max="16" width="15.13"/>
    <col customWidth="1" min="17" max="17" width="18.13"/>
    <col customWidth="1" min="18" max="18" width="15.13"/>
    <col customWidth="1" min="19" max="19" width="18.0"/>
    <col customWidth="1" min="20" max="20" width="15.63"/>
    <col customWidth="1" min="24" max="25" width="15.13"/>
  </cols>
  <sheetData>
    <row r="1">
      <c r="A1" s="55" t="s">
        <v>69</v>
      </c>
      <c r="B1" s="39"/>
      <c r="C1" s="39"/>
      <c r="D1" s="39"/>
      <c r="E1" s="2"/>
      <c r="F1" s="56"/>
      <c r="G1" s="57" t="s">
        <v>70</v>
      </c>
      <c r="M1" s="56"/>
      <c r="N1" s="58" t="s">
        <v>71</v>
      </c>
      <c r="O1" s="39"/>
      <c r="P1" s="39"/>
      <c r="Q1" s="39"/>
      <c r="R1" s="39"/>
      <c r="S1" s="2"/>
      <c r="T1" s="56"/>
      <c r="U1" s="56"/>
      <c r="V1" s="56"/>
      <c r="W1" s="56"/>
      <c r="X1" s="56"/>
      <c r="Y1" s="56"/>
    </row>
    <row r="2">
      <c r="A2" s="59" t="s">
        <v>72</v>
      </c>
      <c r="B2" s="59" t="s">
        <v>73</v>
      </c>
      <c r="C2" s="59" t="s">
        <v>74</v>
      </c>
      <c r="D2" s="60" t="s">
        <v>75</v>
      </c>
      <c r="E2" s="59" t="s">
        <v>76</v>
      </c>
      <c r="F2" s="61"/>
      <c r="G2" s="62" t="s">
        <v>72</v>
      </c>
      <c r="H2" s="62" t="s">
        <v>73</v>
      </c>
      <c r="I2" s="59" t="s">
        <v>74</v>
      </c>
      <c r="J2" s="59" t="s">
        <v>77</v>
      </c>
      <c r="K2" s="59" t="s">
        <v>78</v>
      </c>
      <c r="L2" s="60" t="s">
        <v>79</v>
      </c>
      <c r="M2" s="56"/>
      <c r="N2" s="63" t="s">
        <v>73</v>
      </c>
      <c r="O2" s="63" t="s">
        <v>80</v>
      </c>
      <c r="P2" s="63" t="s">
        <v>81</v>
      </c>
      <c r="Q2" s="63" t="s">
        <v>82</v>
      </c>
      <c r="R2" s="63" t="s">
        <v>83</v>
      </c>
      <c r="S2" s="64" t="s">
        <v>84</v>
      </c>
      <c r="T2" s="56"/>
      <c r="U2" s="56"/>
      <c r="V2" s="56"/>
      <c r="W2" s="56"/>
      <c r="X2" s="56"/>
      <c r="Y2" s="56"/>
    </row>
    <row r="3">
      <c r="A3" s="65">
        <v>1.0</v>
      </c>
      <c r="B3" s="3" t="s">
        <v>85</v>
      </c>
      <c r="C3" s="3" t="s">
        <v>26</v>
      </c>
      <c r="D3" s="66">
        <v>937.5</v>
      </c>
      <c r="E3" s="67">
        <v>84.6</v>
      </c>
      <c r="F3" s="56"/>
      <c r="G3" s="65">
        <v>1.0</v>
      </c>
      <c r="H3" s="3" t="s">
        <v>86</v>
      </c>
      <c r="I3" s="3" t="s">
        <v>26</v>
      </c>
      <c r="J3" s="3">
        <v>254.5</v>
      </c>
      <c r="K3" s="3">
        <v>1052.0</v>
      </c>
      <c r="L3" s="68">
        <v>241.9</v>
      </c>
      <c r="M3" s="56"/>
      <c r="N3" s="69" t="s">
        <v>87</v>
      </c>
      <c r="O3" s="70" t="str">
        <f>IF(COUNTIF(B3:B17,N3)&gt;0,"да","нет")</f>
        <v>да</v>
      </c>
      <c r="P3" s="71" t="str">
        <f>IF(COUNTIF(H3:H17,N3)&gt;0,"да","нет")</f>
        <v>да</v>
      </c>
      <c r="Q3" s="71" t="str">
        <f>IF(COUNTIF(B41:B50,N3)&gt;0,"да","нет")</f>
        <v>да</v>
      </c>
      <c r="R3" s="71" t="str">
        <f>IF(COUNTIF(H41:H50,N3)&gt;0,"да","нет")</f>
        <v>нет</v>
      </c>
      <c r="S3" s="72">
        <f t="shared" ref="S3:S19" si="1">COUNTIF(O3:R3,"да")</f>
        <v>3</v>
      </c>
      <c r="T3" s="56"/>
      <c r="U3" s="56"/>
      <c r="V3" s="56"/>
      <c r="W3" s="56"/>
      <c r="X3" s="56"/>
      <c r="Y3" s="56"/>
    </row>
    <row r="4">
      <c r="A4" s="65">
        <v>2.0</v>
      </c>
      <c r="B4" s="3" t="s">
        <v>87</v>
      </c>
      <c r="C4" s="3" t="s">
        <v>30</v>
      </c>
      <c r="D4" s="66">
        <v>501.3</v>
      </c>
      <c r="E4" s="67">
        <v>75.0</v>
      </c>
      <c r="F4" s="56"/>
      <c r="G4" s="65">
        <v>2.0</v>
      </c>
      <c r="H4" s="3" t="s">
        <v>88</v>
      </c>
      <c r="I4" s="3" t="s">
        <v>31</v>
      </c>
      <c r="J4" s="3">
        <v>472.0</v>
      </c>
      <c r="K4" s="3">
        <v>2344.0</v>
      </c>
      <c r="L4" s="68">
        <v>201.4</v>
      </c>
      <c r="M4" s="73"/>
      <c r="N4" s="69" t="s">
        <v>85</v>
      </c>
      <c r="O4" s="70" t="str">
        <f>IF(COUNTIF(B3:B17,N4)&gt;0,"да","нет")</f>
        <v>да</v>
      </c>
      <c r="P4" s="71" t="str">
        <f>IF(COUNTIF(H3:H17,N4)&gt;0,"да","нет")</f>
        <v>да</v>
      </c>
      <c r="Q4" s="71" t="str">
        <f>IF(COUNTIF(B41:B50,N4)&gt;0,"да","нет")</f>
        <v>нет</v>
      </c>
      <c r="R4" s="71" t="str">
        <f>IF(COUNTIF(H41:H50,N4)&gt;0,"да","нет")</f>
        <v>нет</v>
      </c>
      <c r="S4" s="72">
        <f t="shared" si="1"/>
        <v>2</v>
      </c>
      <c r="T4" s="56"/>
      <c r="U4" s="74"/>
      <c r="V4" s="74"/>
      <c r="W4" s="56"/>
      <c r="X4" s="56"/>
      <c r="Y4" s="56"/>
    </row>
    <row r="5">
      <c r="A5" s="65">
        <v>3.0</v>
      </c>
      <c r="B5" s="3" t="s">
        <v>88</v>
      </c>
      <c r="C5" s="3" t="s">
        <v>31</v>
      </c>
      <c r="D5" s="75">
        <v>472.0</v>
      </c>
      <c r="E5" s="67">
        <v>47.5</v>
      </c>
      <c r="F5" s="56"/>
      <c r="G5" s="65">
        <v>3.0</v>
      </c>
      <c r="H5" s="3" t="s">
        <v>89</v>
      </c>
      <c r="I5" s="3" t="s">
        <v>26</v>
      </c>
      <c r="J5" s="3">
        <v>117.1</v>
      </c>
      <c r="K5" s="3">
        <v>587.0</v>
      </c>
      <c r="L5" s="68">
        <v>199.5</v>
      </c>
      <c r="M5" s="73"/>
      <c r="N5" s="69" t="s">
        <v>88</v>
      </c>
      <c r="O5" s="70" t="str">
        <f>IF(COUNTIF(B3:B17,N5)&gt;0,"да","нет")</f>
        <v>да</v>
      </c>
      <c r="P5" s="71" t="str">
        <f>IF(COUNTIF(H3:H17,N5)&gt;0,"да","нет")</f>
        <v>да</v>
      </c>
      <c r="Q5" s="71" t="str">
        <f>IF(COUNTIF(B41:B50,N5)&gt;0,"да","нет")</f>
        <v>нет</v>
      </c>
      <c r="R5" s="71" t="str">
        <f>IF(COUNTIF(H41:H50,N5)&gt;0,"да","нет")</f>
        <v>нет</v>
      </c>
      <c r="S5" s="72">
        <f t="shared" si="1"/>
        <v>2</v>
      </c>
      <c r="T5" s="56"/>
      <c r="U5" s="21"/>
      <c r="V5" s="21"/>
      <c r="W5" s="56"/>
      <c r="X5" s="56"/>
      <c r="Y5" s="56"/>
    </row>
    <row r="6">
      <c r="A6" s="65">
        <v>4.0</v>
      </c>
      <c r="B6" s="3" t="s">
        <v>90</v>
      </c>
      <c r="C6" s="3" t="s">
        <v>29</v>
      </c>
      <c r="D6" s="66">
        <v>346.4</v>
      </c>
      <c r="E6" s="67">
        <v>86.1</v>
      </c>
      <c r="F6" s="56"/>
      <c r="G6" s="65">
        <v>4.0</v>
      </c>
      <c r="H6" s="3" t="s">
        <v>91</v>
      </c>
      <c r="I6" s="3" t="s">
        <v>26</v>
      </c>
      <c r="J6" s="3">
        <v>128.0</v>
      </c>
      <c r="K6" s="3">
        <v>674.0</v>
      </c>
      <c r="L6" s="68">
        <v>189.9</v>
      </c>
      <c r="M6" s="73"/>
      <c r="N6" s="76" t="s">
        <v>90</v>
      </c>
      <c r="O6" s="70" t="str">
        <f>IF(COUNTIF(B3:B17,N6)&gt;0,"да","нет")</f>
        <v>да</v>
      </c>
      <c r="P6" s="71" t="str">
        <f>IF(COUNTIF(H3:H17,N6)&gt;0,"да","нет")</f>
        <v>да</v>
      </c>
      <c r="Q6" s="71" t="str">
        <f>IF(COUNTIF(B41:B50,N6)&gt;0,"да","нет")</f>
        <v>нет</v>
      </c>
      <c r="R6" s="71" t="str">
        <f>IF(COUNTIF(H41:H50,N6)&gt;0,"да","нет")</f>
        <v>да</v>
      </c>
      <c r="S6" s="72">
        <f t="shared" si="1"/>
        <v>3</v>
      </c>
      <c r="T6" s="56"/>
      <c r="U6" s="21"/>
      <c r="V6" s="21"/>
      <c r="W6" s="56"/>
      <c r="X6" s="56"/>
      <c r="Y6" s="56"/>
    </row>
    <row r="7">
      <c r="A7" s="65">
        <v>5.0</v>
      </c>
      <c r="B7" s="3" t="s">
        <v>92</v>
      </c>
      <c r="C7" s="3" t="s">
        <v>29</v>
      </c>
      <c r="D7" s="66">
        <v>313.7</v>
      </c>
      <c r="E7" s="67">
        <v>38.0</v>
      </c>
      <c r="F7" s="56"/>
      <c r="G7" s="65">
        <v>5.0</v>
      </c>
      <c r="H7" s="3" t="s">
        <v>85</v>
      </c>
      <c r="I7" s="3" t="s">
        <v>26</v>
      </c>
      <c r="J7" s="3">
        <v>937.5</v>
      </c>
      <c r="K7" s="3">
        <v>5600.0</v>
      </c>
      <c r="L7" s="68">
        <v>167.4</v>
      </c>
      <c r="M7" s="73"/>
      <c r="N7" s="76" t="s">
        <v>93</v>
      </c>
      <c r="O7" s="70" t="str">
        <f>IF(COUNTIF(B3:B17,N7)&gt;0,"да","нет")</f>
        <v>да</v>
      </c>
      <c r="P7" s="71" t="str">
        <f>IF(COUNTIF(H3:H17,N7)&gt;0,"да","нет")</f>
        <v>нет</v>
      </c>
      <c r="Q7" s="71" t="str">
        <f>IF(COUNTIF(B41:B50,N7)&gt;0,"да","нет")</f>
        <v>да</v>
      </c>
      <c r="R7" s="71" t="str">
        <f>IF(COUNTIF(H41:H50,N7)&gt;0,"да","нет")</f>
        <v>нет</v>
      </c>
      <c r="S7" s="72">
        <f t="shared" si="1"/>
        <v>2</v>
      </c>
      <c r="T7" s="56"/>
      <c r="U7" s="21"/>
      <c r="V7" s="21"/>
      <c r="W7" s="56"/>
      <c r="X7" s="56"/>
      <c r="Y7" s="56"/>
    </row>
    <row r="8">
      <c r="A8" s="65">
        <v>6.0</v>
      </c>
      <c r="B8" s="3" t="s">
        <v>94</v>
      </c>
      <c r="C8" s="3" t="s">
        <v>31</v>
      </c>
      <c r="D8" s="66">
        <v>283.6</v>
      </c>
      <c r="E8" s="67">
        <v>15.5</v>
      </c>
      <c r="F8" s="56"/>
      <c r="G8" s="65">
        <v>6.0</v>
      </c>
      <c r="H8" s="3" t="s">
        <v>95</v>
      </c>
      <c r="I8" s="3" t="s">
        <v>31</v>
      </c>
      <c r="J8" s="3">
        <v>142.5</v>
      </c>
      <c r="K8" s="3">
        <v>1063.0</v>
      </c>
      <c r="L8" s="68">
        <v>134.1</v>
      </c>
      <c r="M8" s="73"/>
      <c r="N8" s="69" t="s">
        <v>94</v>
      </c>
      <c r="O8" s="70" t="str">
        <f>IF(COUNTIF(B3:B17,N8)&gt;0,"да","нет")</f>
        <v>да</v>
      </c>
      <c r="P8" s="71" t="str">
        <f>IF(COUNTIF(H3:H17,N8)&gt;0,"да","нет")</f>
        <v>нет</v>
      </c>
      <c r="Q8" s="71" t="str">
        <f>IF(COUNTIF(B41:B50,N8)&gt;0,"да","нет")</f>
        <v>да</v>
      </c>
      <c r="R8" s="71" t="str">
        <f>IF(COUNTIF(H41:H50,N8)&gt;0,"да","нет")</f>
        <v>нет</v>
      </c>
      <c r="S8" s="72">
        <f t="shared" si="1"/>
        <v>2</v>
      </c>
      <c r="T8" s="56"/>
      <c r="U8" s="21"/>
      <c r="V8" s="21"/>
      <c r="W8" s="56"/>
      <c r="X8" s="56"/>
      <c r="Y8" s="56"/>
    </row>
    <row r="9">
      <c r="A9" s="65">
        <v>7.0</v>
      </c>
      <c r="B9" s="3" t="s">
        <v>96</v>
      </c>
      <c r="C9" s="3" t="s">
        <v>25</v>
      </c>
      <c r="D9" s="66">
        <v>272.2</v>
      </c>
      <c r="E9" s="67">
        <v>22.6</v>
      </c>
      <c r="F9" s="56"/>
      <c r="G9" s="65">
        <v>7.0</v>
      </c>
      <c r="H9" s="3" t="s">
        <v>97</v>
      </c>
      <c r="I9" s="3" t="s">
        <v>26</v>
      </c>
      <c r="J9" s="3">
        <v>269.8</v>
      </c>
      <c r="K9" s="3">
        <v>2076.0</v>
      </c>
      <c r="L9" s="68">
        <v>130.0</v>
      </c>
      <c r="M9" s="73"/>
      <c r="N9" s="69" t="s">
        <v>96</v>
      </c>
      <c r="O9" s="70" t="str">
        <f>IF(COUNTIF(B3:B17,N9)&gt;0,"да","нет")</f>
        <v>да</v>
      </c>
      <c r="P9" s="71" t="str">
        <f>IF(COUNTIF(H3:H17,N9)&gt;0,"да","нет")</f>
        <v>нет</v>
      </c>
      <c r="Q9" s="71" t="str">
        <f>IF(COUNTIF(B41:B50,N9)&gt;0,"да","нет")</f>
        <v>да</v>
      </c>
      <c r="R9" s="71" t="str">
        <f>IF(COUNTIF(H41:H50,N9)&gt;0,"да","нет")</f>
        <v>нет</v>
      </c>
      <c r="S9" s="72">
        <f t="shared" si="1"/>
        <v>2</v>
      </c>
      <c r="T9" s="56"/>
      <c r="U9" s="21"/>
      <c r="V9" s="21"/>
      <c r="W9" s="56"/>
      <c r="X9" s="56"/>
      <c r="Y9" s="56"/>
    </row>
    <row r="10">
      <c r="A10" s="65">
        <v>8.0</v>
      </c>
      <c r="B10" s="3" t="s">
        <v>93</v>
      </c>
      <c r="C10" s="3" t="s">
        <v>30</v>
      </c>
      <c r="D10" s="66">
        <v>271.5</v>
      </c>
      <c r="E10" s="67">
        <v>37.1</v>
      </c>
      <c r="F10" s="56"/>
      <c r="G10" s="65">
        <v>8.0</v>
      </c>
      <c r="H10" s="3" t="s">
        <v>98</v>
      </c>
      <c r="I10" s="3" t="s">
        <v>32</v>
      </c>
      <c r="J10" s="3">
        <v>164.3</v>
      </c>
      <c r="K10" s="3">
        <v>1289.0</v>
      </c>
      <c r="L10" s="68">
        <v>127.5</v>
      </c>
      <c r="M10" s="73"/>
      <c r="N10" s="69" t="s">
        <v>86</v>
      </c>
      <c r="O10" s="70" t="str">
        <f>IF(COUNTIF(B3:B17,N10)&gt;0,"да","нет")</f>
        <v>да</v>
      </c>
      <c r="P10" s="71" t="str">
        <f>IF(COUNTIF(H3:H17,N10)&gt;0,"да","нет")</f>
        <v>да</v>
      </c>
      <c r="Q10" s="71" t="str">
        <f>IF(COUNTIF(B41:B50,N10)&gt;0,"да","нет")</f>
        <v>нет</v>
      </c>
      <c r="R10" s="71" t="str">
        <f>IF(COUNTIF(H41:H50,N10)&gt;0,"да","нет")</f>
        <v>нет</v>
      </c>
      <c r="S10" s="72">
        <f t="shared" si="1"/>
        <v>2</v>
      </c>
      <c r="T10" s="56"/>
      <c r="U10" s="21"/>
      <c r="V10" s="21"/>
      <c r="W10" s="56"/>
      <c r="X10" s="56"/>
      <c r="Y10" s="56"/>
    </row>
    <row r="11">
      <c r="A11" s="65">
        <v>9.0</v>
      </c>
      <c r="B11" s="3" t="s">
        <v>97</v>
      </c>
      <c r="C11" s="3" t="s">
        <v>26</v>
      </c>
      <c r="D11" s="66">
        <v>269.8</v>
      </c>
      <c r="E11" s="67">
        <v>7.3</v>
      </c>
      <c r="F11" s="56"/>
      <c r="G11" s="65">
        <v>9.0</v>
      </c>
      <c r="H11" s="77" t="s">
        <v>99</v>
      </c>
      <c r="I11" s="3" t="s">
        <v>28</v>
      </c>
      <c r="J11" s="3">
        <v>87.0</v>
      </c>
      <c r="K11" s="3">
        <v>687.0</v>
      </c>
      <c r="L11" s="68">
        <v>126.6</v>
      </c>
      <c r="M11" s="73"/>
      <c r="N11" s="69" t="s">
        <v>91</v>
      </c>
      <c r="O11" s="70" t="str">
        <f>IF(COUNTIF(B3:B17,N11)&gt;0,"да","нет")</f>
        <v>нет</v>
      </c>
      <c r="P11" s="71" t="str">
        <f>IF(COUNTIF(H3:H17,N11)&gt;0,"да","нет")</f>
        <v>да</v>
      </c>
      <c r="Q11" s="71" t="str">
        <f>IF(COUNTIF(B41:B50,N11)&gt;0,"да","нет")</f>
        <v>да</v>
      </c>
      <c r="R11" s="71" t="str">
        <f>IF(COUNTIF(H41:H50,N11)&gt;0,"да","нет")</f>
        <v>нет</v>
      </c>
      <c r="S11" s="72">
        <f t="shared" si="1"/>
        <v>2</v>
      </c>
      <c r="T11" s="56"/>
      <c r="U11" s="21"/>
      <c r="V11" s="21"/>
      <c r="W11" s="56"/>
      <c r="X11" s="56"/>
      <c r="Y11" s="56"/>
    </row>
    <row r="12">
      <c r="A12" s="65">
        <v>10.0</v>
      </c>
      <c r="B12" s="3" t="s">
        <v>86</v>
      </c>
      <c r="C12" s="3" t="s">
        <v>26</v>
      </c>
      <c r="D12" s="66">
        <v>254.5</v>
      </c>
      <c r="E12" s="67">
        <v>42.9</v>
      </c>
      <c r="F12" s="56"/>
      <c r="G12" s="65">
        <v>10.0</v>
      </c>
      <c r="H12" s="3" t="s">
        <v>100</v>
      </c>
      <c r="I12" s="3" t="s">
        <v>25</v>
      </c>
      <c r="J12" s="3">
        <v>145.8</v>
      </c>
      <c r="K12" s="3">
        <v>1221.0</v>
      </c>
      <c r="L12" s="68">
        <v>119.4</v>
      </c>
      <c r="M12" s="73"/>
      <c r="N12" s="69" t="s">
        <v>101</v>
      </c>
      <c r="O12" s="70" t="str">
        <f>IF(COUNTIF(B3:B17,N12)&gt;0,"да","нет")</f>
        <v>нет</v>
      </c>
      <c r="P12" s="71" t="str">
        <f>IF(COUNTIF(H3:H17,N12)&gt;0,"да","нет")</f>
        <v>нет</v>
      </c>
      <c r="Q12" s="71" t="str">
        <f>IF(COUNTIF(B41:B50,N12)&gt;0,"да","нет")</f>
        <v>да</v>
      </c>
      <c r="R12" s="71" t="str">
        <f>IF(COUNTIF(H41:H50,N12)&gt;0,"да","нет")</f>
        <v>да</v>
      </c>
      <c r="S12" s="72">
        <f t="shared" si="1"/>
        <v>2</v>
      </c>
      <c r="T12" s="56"/>
      <c r="U12" s="21"/>
      <c r="V12" s="21"/>
      <c r="W12" s="56"/>
      <c r="X12" s="56"/>
      <c r="Y12" s="56"/>
    </row>
    <row r="13">
      <c r="A13" s="65">
        <v>11.0</v>
      </c>
      <c r="B13" s="3" t="s">
        <v>102</v>
      </c>
      <c r="C13" s="3" t="s">
        <v>32</v>
      </c>
      <c r="D13" s="75">
        <v>201.0</v>
      </c>
      <c r="E13" s="78">
        <v>59.0</v>
      </c>
      <c r="F13" s="56"/>
      <c r="G13" s="65">
        <v>11.0</v>
      </c>
      <c r="H13" s="3" t="s">
        <v>87</v>
      </c>
      <c r="I13" s="3" t="s">
        <v>103</v>
      </c>
      <c r="J13" s="3">
        <v>501.3</v>
      </c>
      <c r="K13" s="3">
        <v>4267.0</v>
      </c>
      <c r="L13" s="68">
        <v>117.5</v>
      </c>
      <c r="M13" s="73"/>
      <c r="N13" s="69" t="s">
        <v>100</v>
      </c>
      <c r="O13" s="70" t="str">
        <f>IF(COUNTIF(B3:B17,N13)&gt;0,"да","нет")</f>
        <v>нет</v>
      </c>
      <c r="P13" s="71" t="str">
        <f>IF(COUNTIF(H3:H17,N13)&gt;0,"да","нет")</f>
        <v>да</v>
      </c>
      <c r="Q13" s="71" t="str">
        <f>IF(COUNTIF(B41:B50,N13)&gt;0,"да","нет")</f>
        <v>нет</v>
      </c>
      <c r="R13" s="71" t="str">
        <f>IF(COUNTIF(H41:H50,N13)&gt;0,"да","нет")</f>
        <v>да</v>
      </c>
      <c r="S13" s="72">
        <f t="shared" si="1"/>
        <v>2</v>
      </c>
      <c r="T13" s="56"/>
      <c r="U13" s="21"/>
      <c r="V13" s="21"/>
      <c r="W13" s="56"/>
      <c r="X13" s="56"/>
      <c r="Y13" s="56"/>
    </row>
    <row r="14">
      <c r="A14" s="65">
        <v>12.0</v>
      </c>
      <c r="B14" s="3" t="s">
        <v>104</v>
      </c>
      <c r="C14" s="3" t="s">
        <v>25</v>
      </c>
      <c r="D14" s="66">
        <v>198.5</v>
      </c>
      <c r="E14" s="67">
        <v>18.6</v>
      </c>
      <c r="F14" s="56"/>
      <c r="G14" s="65">
        <v>12.0</v>
      </c>
      <c r="H14" s="3" t="s">
        <v>90</v>
      </c>
      <c r="I14" s="3" t="s">
        <v>29</v>
      </c>
      <c r="J14" s="3">
        <v>346.4</v>
      </c>
      <c r="K14" s="3">
        <v>3131.0</v>
      </c>
      <c r="L14" s="68">
        <v>110.6</v>
      </c>
      <c r="M14" s="73"/>
      <c r="N14" s="69" t="s">
        <v>102</v>
      </c>
      <c r="O14" s="70" t="str">
        <f>IF(COUNTIF(B3:B17,N14)&gt;0,"да","нет")</f>
        <v>да</v>
      </c>
      <c r="P14" s="71" t="str">
        <f>IF(COUNTIF(H3:H17,N14)&gt;0,"да","нет")</f>
        <v>да</v>
      </c>
      <c r="Q14" s="71" t="str">
        <f>IF(COUNTIF(B41:B50,N14)&gt;0,"да","нет")</f>
        <v>нет</v>
      </c>
      <c r="R14" s="71" t="str">
        <f>IF(COUNTIF(H41:H50,N14)&gt;0,"да","нет")</f>
        <v>нет</v>
      </c>
      <c r="S14" s="72">
        <f t="shared" si="1"/>
        <v>2</v>
      </c>
      <c r="T14" s="56"/>
      <c r="U14" s="21"/>
      <c r="V14" s="21"/>
      <c r="W14" s="56"/>
      <c r="X14" s="56"/>
      <c r="Y14" s="56"/>
    </row>
    <row r="15">
      <c r="A15" s="65">
        <v>13.0</v>
      </c>
      <c r="B15" s="3" t="s">
        <v>105</v>
      </c>
      <c r="C15" s="3" t="s">
        <v>27</v>
      </c>
      <c r="D15" s="66">
        <v>196.5</v>
      </c>
      <c r="E15" s="67">
        <v>15.1</v>
      </c>
      <c r="F15" s="56"/>
      <c r="G15" s="65">
        <v>13.0</v>
      </c>
      <c r="H15" s="3" t="s">
        <v>102</v>
      </c>
      <c r="I15" s="3" t="s">
        <v>32</v>
      </c>
      <c r="J15" s="3">
        <v>201.0</v>
      </c>
      <c r="K15" s="3">
        <v>1820.0</v>
      </c>
      <c r="L15" s="68">
        <v>110.4</v>
      </c>
      <c r="M15" s="73"/>
      <c r="N15" s="69" t="s">
        <v>106</v>
      </c>
      <c r="O15" s="70" t="str">
        <f>IF(COUNTIF(B3:B17,N15)&gt;0,"да","нет")</f>
        <v>нет</v>
      </c>
      <c r="P15" s="71" t="str">
        <f>IF(COUNTIF(H3:H17,N15)&gt;0,"да","нет")</f>
        <v>нет</v>
      </c>
      <c r="Q15" s="71" t="str">
        <f>IF(COUNTIF(B41:B50,N15)&gt;0,"да","нет")</f>
        <v>да</v>
      </c>
      <c r="R15" s="71" t="str">
        <f>IF(COUNTIF(H41:H50,N15)&gt;0,"да","нет")</f>
        <v>нет</v>
      </c>
      <c r="S15" s="72">
        <f t="shared" si="1"/>
        <v>1</v>
      </c>
      <c r="T15" s="56"/>
      <c r="U15" s="21"/>
      <c r="V15" s="21"/>
      <c r="W15" s="56"/>
      <c r="X15" s="56"/>
      <c r="Y15" s="56"/>
    </row>
    <row r="16">
      <c r="A16" s="65">
        <v>14.0</v>
      </c>
      <c r="B16" s="3" t="s">
        <v>107</v>
      </c>
      <c r="C16" s="3" t="s">
        <v>29</v>
      </c>
      <c r="D16" s="66">
        <v>195.2</v>
      </c>
      <c r="E16" s="67">
        <v>37.7</v>
      </c>
      <c r="F16" s="56"/>
      <c r="G16" s="65">
        <v>14.0</v>
      </c>
      <c r="H16" s="3" t="s">
        <v>108</v>
      </c>
      <c r="I16" s="3" t="s">
        <v>32</v>
      </c>
      <c r="J16" s="3">
        <v>31.5</v>
      </c>
      <c r="K16" s="3">
        <v>291.0</v>
      </c>
      <c r="L16" s="68">
        <v>108.2</v>
      </c>
      <c r="M16" s="73"/>
      <c r="N16" s="69" t="s">
        <v>109</v>
      </c>
      <c r="O16" s="70" t="str">
        <f>IF(COUNTIF(B3:B17,N16)&gt;0,"да","нет")</f>
        <v>нет</v>
      </c>
      <c r="P16" s="71" t="str">
        <f>IF(COUNTIF(H3:H17,N16)&gt;0,"да","нет")</f>
        <v>нет</v>
      </c>
      <c r="Q16" s="71" t="str">
        <f>IF(COUNTIF(B41:B50,N16)&gt;0,"да","нет")</f>
        <v>да</v>
      </c>
      <c r="R16" s="71" t="str">
        <f>IF(COUNTIF(H41:H50,N16)&gt;0,"да","нет")</f>
        <v>нет</v>
      </c>
      <c r="S16" s="72">
        <f t="shared" si="1"/>
        <v>1</v>
      </c>
      <c r="T16" s="56"/>
      <c r="U16" s="21"/>
      <c r="V16" s="21"/>
      <c r="W16" s="56"/>
      <c r="X16" s="56"/>
      <c r="Y16" s="56"/>
    </row>
    <row r="17">
      <c r="A17" s="65">
        <v>15.0</v>
      </c>
      <c r="B17" s="3" t="s">
        <v>110</v>
      </c>
      <c r="C17" s="3" t="s">
        <v>29</v>
      </c>
      <c r="D17" s="66">
        <v>169.8</v>
      </c>
      <c r="E17" s="67">
        <v>36.2</v>
      </c>
      <c r="F17" s="56"/>
      <c r="G17" s="65">
        <v>15.0</v>
      </c>
      <c r="H17" s="3" t="s">
        <v>111</v>
      </c>
      <c r="I17" s="3" t="s">
        <v>32</v>
      </c>
      <c r="J17" s="3">
        <v>14.4</v>
      </c>
      <c r="K17" s="3">
        <v>136.0</v>
      </c>
      <c r="L17" s="68">
        <v>105.9</v>
      </c>
      <c r="M17" s="73"/>
      <c r="N17" s="69" t="s">
        <v>112</v>
      </c>
      <c r="O17" s="70" t="str">
        <f>IF(COUNTIF(B3:B17,N17)&gt;0,"да","нет")</f>
        <v>нет</v>
      </c>
      <c r="P17" s="71" t="str">
        <f>IF(COUNTIF(H3:H17,N17)&gt;0,"да","нет")</f>
        <v>нет</v>
      </c>
      <c r="Q17" s="71" t="str">
        <f>IF(COUNTIF(B41:B50,N17)&gt;0,"да","нет")</f>
        <v>нет</v>
      </c>
      <c r="R17" s="71" t="str">
        <f>IF(COUNTIF(H41:H50,N17)&gt;0,"да","нет")</f>
        <v>да</v>
      </c>
      <c r="S17" s="72">
        <f t="shared" si="1"/>
        <v>1</v>
      </c>
      <c r="T17" s="56"/>
      <c r="U17" s="21"/>
      <c r="V17" s="21"/>
      <c r="W17" s="56"/>
      <c r="X17" s="56"/>
      <c r="Y17" s="56"/>
    </row>
    <row r="18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73"/>
      <c r="N18" s="69" t="s">
        <v>104</v>
      </c>
      <c r="O18" s="70" t="str">
        <f>IF(COUNTIF(B3:B17,N18)&gt;0,"да","нет")</f>
        <v>да</v>
      </c>
      <c r="P18" s="71" t="str">
        <f>IF(COUNTIF(H3:H17,N18)&gt;0,"да","нет")</f>
        <v>нет</v>
      </c>
      <c r="Q18" s="71" t="str">
        <f>IF(COUNTIF(B41:B50,N18)&gt;0,"да","нет")</f>
        <v>да</v>
      </c>
      <c r="R18" s="71" t="str">
        <f>IF(COUNTIF(H41:H50,N18)&gt;0,"да","нет")</f>
        <v>нет</v>
      </c>
      <c r="S18" s="72">
        <f t="shared" si="1"/>
        <v>2</v>
      </c>
      <c r="T18" s="56"/>
      <c r="U18" s="21"/>
      <c r="V18" s="21"/>
      <c r="W18" s="56"/>
      <c r="X18" s="56"/>
      <c r="Y18" s="56"/>
    </row>
    <row r="19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73"/>
      <c r="N19" s="69" t="s">
        <v>92</v>
      </c>
      <c r="O19" s="70" t="str">
        <f>IF(COUNTIF(B3:B17,N19)&gt;0,"да","нет")</f>
        <v>да</v>
      </c>
      <c r="P19" s="71" t="str">
        <f>IF(COUNTIF(H3:H17,N19)&gt;0,"да","нет")</f>
        <v>нет</v>
      </c>
      <c r="Q19" s="71" t="str">
        <f>IF(COUNTIF(B41:B50,N19)&gt;0,"да","нет")</f>
        <v>нет</v>
      </c>
      <c r="R19" s="71" t="str">
        <f>IF(COUNTIF(H41:H50,N19)&gt;0,"да","нет")</f>
        <v>нет</v>
      </c>
      <c r="S19" s="72">
        <f t="shared" si="1"/>
        <v>1</v>
      </c>
      <c r="T19" s="56"/>
      <c r="U19" s="21"/>
      <c r="V19" s="21"/>
      <c r="W19" s="56"/>
      <c r="X19" s="56"/>
      <c r="Y19" s="56"/>
    </row>
    <row r="20">
      <c r="A20" s="79" t="s">
        <v>113</v>
      </c>
      <c r="B20" s="39"/>
      <c r="C20" s="39"/>
      <c r="D20" s="39"/>
      <c r="E20" s="2"/>
      <c r="F20" s="56"/>
      <c r="G20" s="80" t="s">
        <v>114</v>
      </c>
      <c r="H20" s="39"/>
      <c r="I20" s="39"/>
      <c r="J20" s="39"/>
      <c r="K20" s="39"/>
      <c r="L20" s="2"/>
      <c r="M20" s="81"/>
      <c r="T20" s="56"/>
      <c r="U20" s="21"/>
      <c r="V20" s="21"/>
      <c r="W20" s="56"/>
      <c r="X20" s="56"/>
      <c r="Y20" s="56"/>
    </row>
    <row r="21">
      <c r="A21" s="62" t="s">
        <v>72</v>
      </c>
      <c r="B21" s="62" t="s">
        <v>73</v>
      </c>
      <c r="C21" s="59" t="s">
        <v>74</v>
      </c>
      <c r="D21" s="82" t="s">
        <v>115</v>
      </c>
      <c r="E21" s="59" t="s">
        <v>116</v>
      </c>
      <c r="F21" s="56"/>
      <c r="G21" s="59" t="s">
        <v>72</v>
      </c>
      <c r="H21" s="77" t="s">
        <v>73</v>
      </c>
      <c r="I21" s="77" t="s">
        <v>74</v>
      </c>
      <c r="J21" s="77" t="s">
        <v>115</v>
      </c>
      <c r="K21" s="77" t="s">
        <v>78</v>
      </c>
      <c r="L21" s="83" t="s">
        <v>79</v>
      </c>
      <c r="M21" s="56"/>
      <c r="N21" s="56"/>
      <c r="O21" s="56"/>
      <c r="P21" s="56"/>
      <c r="Q21" s="56"/>
      <c r="R21" s="56"/>
      <c r="S21" s="56"/>
      <c r="T21" s="56"/>
      <c r="U21" s="52"/>
      <c r="V21" s="52"/>
      <c r="W21" s="56"/>
      <c r="X21" s="56"/>
      <c r="Y21" s="56"/>
    </row>
    <row r="22">
      <c r="A22" s="65">
        <v>1.0</v>
      </c>
      <c r="B22" s="3" t="s">
        <v>117</v>
      </c>
      <c r="C22" s="3" t="s">
        <v>28</v>
      </c>
      <c r="D22" s="84">
        <v>0.0</v>
      </c>
      <c r="E22" s="3">
        <v>0.0</v>
      </c>
      <c r="F22" s="56"/>
      <c r="G22" s="85">
        <v>46054.0</v>
      </c>
      <c r="H22" s="77" t="s">
        <v>117</v>
      </c>
      <c r="I22" s="77" t="s">
        <v>28</v>
      </c>
      <c r="J22" s="77">
        <v>0.0</v>
      </c>
      <c r="K22" s="77">
        <v>1541.0</v>
      </c>
      <c r="L22" s="83">
        <v>0.0</v>
      </c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</row>
    <row r="23">
      <c r="A23" s="65">
        <v>2.0</v>
      </c>
      <c r="B23" s="3" t="s">
        <v>118</v>
      </c>
      <c r="C23" s="3" t="s">
        <v>26</v>
      </c>
      <c r="D23" s="84">
        <v>0.0</v>
      </c>
      <c r="E23" s="3">
        <v>0.0</v>
      </c>
      <c r="F23" s="56"/>
      <c r="G23" s="85">
        <v>46054.0</v>
      </c>
      <c r="H23" s="77" t="s">
        <v>118</v>
      </c>
      <c r="I23" s="77" t="s">
        <v>26</v>
      </c>
      <c r="J23" s="77">
        <v>0.0</v>
      </c>
      <c r="K23" s="77">
        <v>45.0</v>
      </c>
      <c r="L23" s="83">
        <v>0.0</v>
      </c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</row>
    <row r="24">
      <c r="A24" s="65">
        <v>3.0</v>
      </c>
      <c r="B24" s="3" t="s">
        <v>119</v>
      </c>
      <c r="C24" s="3" t="s">
        <v>31</v>
      </c>
      <c r="D24" s="84">
        <v>0.4</v>
      </c>
      <c r="E24" s="3">
        <v>13.1</v>
      </c>
      <c r="F24" s="56"/>
      <c r="G24" s="59">
        <v>3.0</v>
      </c>
      <c r="H24" s="77" t="s">
        <v>120</v>
      </c>
      <c r="I24" s="77" t="s">
        <v>28</v>
      </c>
      <c r="J24" s="77">
        <v>0.6</v>
      </c>
      <c r="K24" s="77">
        <v>524.0</v>
      </c>
      <c r="L24" s="83">
        <v>1.1</v>
      </c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</row>
    <row r="25">
      <c r="A25" s="65">
        <v>4.0</v>
      </c>
      <c r="B25" s="3" t="s">
        <v>120</v>
      </c>
      <c r="C25" s="3" t="s">
        <v>28</v>
      </c>
      <c r="D25" s="84">
        <v>0.6</v>
      </c>
      <c r="E25" s="3">
        <v>24.5</v>
      </c>
      <c r="F25" s="56"/>
      <c r="G25" s="59">
        <v>4.0</v>
      </c>
      <c r="H25" s="77" t="s">
        <v>119</v>
      </c>
      <c r="I25" s="77" t="s">
        <v>31</v>
      </c>
      <c r="J25" s="77">
        <v>0.4</v>
      </c>
      <c r="K25" s="77">
        <v>211.0</v>
      </c>
      <c r="L25" s="83">
        <v>1.9</v>
      </c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</row>
    <row r="26">
      <c r="A26" s="65">
        <v>5.0</v>
      </c>
      <c r="B26" s="3" t="s">
        <v>121</v>
      </c>
      <c r="C26" s="3" t="s">
        <v>27</v>
      </c>
      <c r="D26" s="84">
        <v>1.3</v>
      </c>
      <c r="E26" s="3">
        <v>1.0</v>
      </c>
      <c r="F26" s="56"/>
      <c r="G26" s="59">
        <v>5.0</v>
      </c>
      <c r="H26" s="77" t="s">
        <v>122</v>
      </c>
      <c r="I26" s="77" t="s">
        <v>28</v>
      </c>
      <c r="J26" s="77">
        <v>7.5</v>
      </c>
      <c r="K26" s="77">
        <v>3182.0</v>
      </c>
      <c r="L26" s="83">
        <v>2.4</v>
      </c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</row>
    <row r="27">
      <c r="A27" s="65">
        <v>6.0</v>
      </c>
      <c r="B27" s="3" t="s">
        <v>123</v>
      </c>
      <c r="C27" s="3" t="s">
        <v>32</v>
      </c>
      <c r="D27" s="84">
        <v>2.9</v>
      </c>
      <c r="E27" s="3">
        <v>2.9</v>
      </c>
      <c r="F27" s="56"/>
      <c r="G27" s="59">
        <v>6.0</v>
      </c>
      <c r="H27" s="77" t="s">
        <v>121</v>
      </c>
      <c r="I27" s="77" t="s">
        <v>27</v>
      </c>
      <c r="J27" s="77">
        <v>1.3</v>
      </c>
      <c r="K27" s="77">
        <v>497.0</v>
      </c>
      <c r="L27" s="83">
        <v>2.6</v>
      </c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</row>
    <row r="28">
      <c r="A28" s="65">
        <v>7.0</v>
      </c>
      <c r="B28" s="3" t="s">
        <v>124</v>
      </c>
      <c r="C28" s="3" t="s">
        <v>29</v>
      </c>
      <c r="D28" s="84">
        <v>5.0</v>
      </c>
      <c r="E28" s="3">
        <v>16.4</v>
      </c>
      <c r="F28" s="56"/>
      <c r="G28" s="59">
        <v>7.0</v>
      </c>
      <c r="H28" s="77" t="s">
        <v>125</v>
      </c>
      <c r="I28" s="77" t="s">
        <v>31</v>
      </c>
      <c r="J28" s="77">
        <v>13.2</v>
      </c>
      <c r="K28" s="77">
        <v>2268.0</v>
      </c>
      <c r="L28" s="83">
        <v>5.8</v>
      </c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</row>
    <row r="29">
      <c r="A29" s="65">
        <v>8.0</v>
      </c>
      <c r="B29" s="3" t="s">
        <v>126</v>
      </c>
      <c r="C29" s="3" t="s">
        <v>31</v>
      </c>
      <c r="D29" s="84">
        <v>7.1</v>
      </c>
      <c r="E29" s="3">
        <v>53.3</v>
      </c>
      <c r="F29" s="56"/>
      <c r="G29" s="59">
        <v>8.0</v>
      </c>
      <c r="H29" s="77" t="s">
        <v>124</v>
      </c>
      <c r="I29" s="77" t="s">
        <v>29</v>
      </c>
      <c r="J29" s="77">
        <v>5.0</v>
      </c>
      <c r="K29" s="77">
        <v>764.0</v>
      </c>
      <c r="L29" s="83">
        <v>6.5</v>
      </c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</row>
    <row r="30">
      <c r="A30" s="65">
        <v>9.0</v>
      </c>
      <c r="B30" s="3" t="s">
        <v>122</v>
      </c>
      <c r="C30" s="3" t="s">
        <v>28</v>
      </c>
      <c r="D30" s="84">
        <v>7.5</v>
      </c>
      <c r="E30" s="3">
        <v>2.2</v>
      </c>
      <c r="F30" s="56"/>
      <c r="G30" s="59">
        <v>9.0</v>
      </c>
      <c r="H30" s="77" t="s">
        <v>104</v>
      </c>
      <c r="I30" s="77" t="s">
        <v>25</v>
      </c>
      <c r="J30" s="77">
        <v>198.5</v>
      </c>
      <c r="K30" s="77">
        <v>13104.0</v>
      </c>
      <c r="L30" s="83">
        <v>15.2</v>
      </c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</row>
    <row r="31">
      <c r="A31" s="65">
        <v>10.0</v>
      </c>
      <c r="B31" s="3" t="s">
        <v>127</v>
      </c>
      <c r="C31" s="3" t="s">
        <v>27</v>
      </c>
      <c r="D31" s="84">
        <v>9.1</v>
      </c>
      <c r="E31" s="3">
        <v>75.0</v>
      </c>
      <c r="F31" s="56"/>
      <c r="G31" s="59">
        <v>10.0</v>
      </c>
      <c r="H31" s="77" t="s">
        <v>128</v>
      </c>
      <c r="I31" s="77" t="s">
        <v>25</v>
      </c>
      <c r="J31" s="77">
        <v>16.2</v>
      </c>
      <c r="K31" s="77">
        <v>946.0</v>
      </c>
      <c r="L31" s="83">
        <v>17.1</v>
      </c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</row>
    <row r="32">
      <c r="A32" s="65">
        <v>11.0</v>
      </c>
      <c r="B32" s="3" t="s">
        <v>129</v>
      </c>
      <c r="C32" s="3" t="s">
        <v>32</v>
      </c>
      <c r="D32" s="84">
        <v>11.7</v>
      </c>
      <c r="E32" s="3">
        <v>87.3</v>
      </c>
      <c r="F32" s="56"/>
      <c r="G32" s="59">
        <v>11.0</v>
      </c>
      <c r="H32" s="77" t="s">
        <v>126</v>
      </c>
      <c r="I32" s="77" t="s">
        <v>31</v>
      </c>
      <c r="J32" s="77">
        <v>7.1</v>
      </c>
      <c r="K32" s="77">
        <v>337.0</v>
      </c>
      <c r="L32" s="83">
        <v>21.1</v>
      </c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</row>
    <row r="33">
      <c r="A33" s="65">
        <v>12.0</v>
      </c>
      <c r="B33" s="3" t="s">
        <v>125</v>
      </c>
      <c r="C33" s="3" t="s">
        <v>31</v>
      </c>
      <c r="D33" s="84">
        <v>13.2</v>
      </c>
      <c r="E33" s="3">
        <v>3.7</v>
      </c>
      <c r="F33" s="56"/>
      <c r="G33" s="59">
        <v>12.0</v>
      </c>
      <c r="H33" s="77" t="s">
        <v>130</v>
      </c>
      <c r="I33" s="77" t="s">
        <v>28</v>
      </c>
      <c r="J33" s="77">
        <v>20.5</v>
      </c>
      <c r="K33" s="77">
        <v>907.0</v>
      </c>
      <c r="L33" s="83">
        <v>22.6</v>
      </c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</row>
    <row r="34">
      <c r="A34" s="65">
        <v>13.0</v>
      </c>
      <c r="B34" s="3" t="s">
        <v>111</v>
      </c>
      <c r="C34" s="3" t="s">
        <v>32</v>
      </c>
      <c r="D34" s="84">
        <v>14.4</v>
      </c>
      <c r="E34" s="3">
        <v>36.9</v>
      </c>
      <c r="F34" s="56"/>
      <c r="G34" s="59">
        <v>13.0</v>
      </c>
      <c r="H34" s="77" t="s">
        <v>131</v>
      </c>
      <c r="I34" s="77" t="s">
        <v>25</v>
      </c>
      <c r="J34" s="77">
        <v>25.7</v>
      </c>
      <c r="K34" s="77">
        <v>1072.0</v>
      </c>
      <c r="L34" s="83">
        <v>24.0</v>
      </c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</row>
    <row r="35">
      <c r="A35" s="65">
        <v>14.0</v>
      </c>
      <c r="B35" s="3" t="s">
        <v>128</v>
      </c>
      <c r="C35" s="3" t="s">
        <v>25</v>
      </c>
      <c r="D35" s="84">
        <v>16.2</v>
      </c>
      <c r="E35" s="3">
        <v>20.5</v>
      </c>
      <c r="F35" s="56"/>
      <c r="G35" s="59">
        <v>14.0</v>
      </c>
      <c r="H35" s="77" t="s">
        <v>132</v>
      </c>
      <c r="I35" s="77" t="s">
        <v>31</v>
      </c>
      <c r="J35" s="77">
        <v>75.7</v>
      </c>
      <c r="K35" s="77">
        <v>2857.0</v>
      </c>
      <c r="L35" s="83">
        <v>26.5</v>
      </c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</row>
    <row r="36">
      <c r="A36" s="65">
        <v>15.0</v>
      </c>
      <c r="B36" s="3" t="s">
        <v>133</v>
      </c>
      <c r="C36" s="3" t="s">
        <v>26</v>
      </c>
      <c r="D36" s="84">
        <v>17.6</v>
      </c>
      <c r="E36" s="3">
        <v>23.7</v>
      </c>
      <c r="F36" s="56"/>
      <c r="G36" s="59">
        <v>15.0</v>
      </c>
      <c r="H36" s="77" t="s">
        <v>134</v>
      </c>
      <c r="I36" s="77" t="s">
        <v>27</v>
      </c>
      <c r="J36" s="77">
        <v>158.5</v>
      </c>
      <c r="K36" s="77">
        <v>5976.0</v>
      </c>
      <c r="L36" s="83">
        <v>26.5</v>
      </c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</row>
    <row r="3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</row>
    <row r="39">
      <c r="A39" s="86" t="s">
        <v>135</v>
      </c>
      <c r="B39" s="39"/>
      <c r="C39" s="39"/>
      <c r="D39" s="39"/>
      <c r="E39" s="2"/>
      <c r="F39" s="87"/>
      <c r="G39" s="88" t="s">
        <v>136</v>
      </c>
      <c r="H39" s="39"/>
      <c r="I39" s="39"/>
      <c r="J39" s="39"/>
      <c r="K39" s="39"/>
      <c r="L39" s="2"/>
      <c r="M39" s="56"/>
      <c r="N39" s="88" t="s">
        <v>137</v>
      </c>
      <c r="O39" s="39"/>
      <c r="P39" s="39"/>
      <c r="Q39" s="2"/>
      <c r="R39" s="56"/>
      <c r="S39" s="88" t="s">
        <v>138</v>
      </c>
      <c r="T39" s="39"/>
      <c r="U39" s="39"/>
      <c r="V39" s="39"/>
      <c r="W39" s="39"/>
      <c r="X39" s="2"/>
      <c r="Y39" s="89"/>
    </row>
    <row r="40">
      <c r="A40" s="59" t="s">
        <v>72</v>
      </c>
      <c r="B40" s="59" t="s">
        <v>73</v>
      </c>
      <c r="C40" s="59" t="s">
        <v>139</v>
      </c>
      <c r="D40" s="59" t="s">
        <v>140</v>
      </c>
      <c r="E40" s="90" t="s">
        <v>141</v>
      </c>
      <c r="F40" s="56"/>
      <c r="G40" s="91" t="s">
        <v>72</v>
      </c>
      <c r="H40" s="91" t="s">
        <v>73</v>
      </c>
      <c r="I40" s="91" t="s">
        <v>74</v>
      </c>
      <c r="J40" s="91" t="s">
        <v>142</v>
      </c>
      <c r="K40" s="91" t="s">
        <v>77</v>
      </c>
      <c r="L40" s="92" t="s">
        <v>37</v>
      </c>
      <c r="M40" s="56"/>
      <c r="N40" s="91" t="s">
        <v>72</v>
      </c>
      <c r="O40" s="91" t="s">
        <v>59</v>
      </c>
      <c r="P40" s="91" t="s">
        <v>143</v>
      </c>
      <c r="Q40" s="91" t="s">
        <v>144</v>
      </c>
      <c r="R40" s="56"/>
      <c r="S40" s="91" t="s">
        <v>72</v>
      </c>
      <c r="T40" s="91" t="s">
        <v>35</v>
      </c>
      <c r="U40" s="91" t="s">
        <v>145</v>
      </c>
      <c r="V40" s="91" t="s">
        <v>36</v>
      </c>
      <c r="W40" s="91" t="s">
        <v>37</v>
      </c>
      <c r="X40" s="91" t="s">
        <v>146</v>
      </c>
      <c r="Y40" s="93"/>
    </row>
    <row r="41">
      <c r="A41" s="59">
        <v>1.0</v>
      </c>
      <c r="B41" s="77" t="s">
        <v>87</v>
      </c>
      <c r="C41" s="77">
        <v>250.0</v>
      </c>
      <c r="D41" s="77">
        <v>54.0</v>
      </c>
      <c r="E41" s="94">
        <v>304.0</v>
      </c>
      <c r="F41" s="56"/>
      <c r="G41" s="23">
        <v>1.0</v>
      </c>
      <c r="H41" s="95" t="s">
        <v>112</v>
      </c>
      <c r="I41" s="95" t="s">
        <v>103</v>
      </c>
      <c r="J41" s="95">
        <v>31.5</v>
      </c>
      <c r="K41" s="95">
        <v>31.4</v>
      </c>
      <c r="L41" s="96">
        <v>99.7</v>
      </c>
      <c r="M41" s="56"/>
      <c r="N41" s="23">
        <v>1.0</v>
      </c>
      <c r="O41" s="95" t="s">
        <v>60</v>
      </c>
      <c r="P41" s="97" t="s">
        <v>147</v>
      </c>
      <c r="Q41" s="95">
        <f t="shared" ref="Q41:Q45" si="2">ROUND(P41/11.3*100, 1)</f>
        <v>38.1</v>
      </c>
      <c r="R41" s="56"/>
      <c r="S41" s="23">
        <v>1.0</v>
      </c>
      <c r="T41" s="95" t="s">
        <v>38</v>
      </c>
      <c r="U41" s="95">
        <v>8251.7</v>
      </c>
      <c r="V41" s="95">
        <v>7406.3</v>
      </c>
      <c r="W41" s="95">
        <v>65.4</v>
      </c>
      <c r="X41" s="95">
        <f t="shared" ref="X41:X45" si="3">ROUND((V41-U41)/U41*100, 1)</f>
        <v>-10.2</v>
      </c>
      <c r="Y41" s="98"/>
    </row>
    <row r="42">
      <c r="A42" s="59">
        <v>2.0</v>
      </c>
      <c r="B42" s="77" t="s">
        <v>96</v>
      </c>
      <c r="C42" s="77">
        <v>115.0</v>
      </c>
      <c r="D42" s="77">
        <v>0.0</v>
      </c>
      <c r="E42" s="94">
        <v>115.0</v>
      </c>
      <c r="F42" s="56"/>
      <c r="G42" s="23">
        <v>2.0</v>
      </c>
      <c r="H42" s="95" t="s">
        <v>101</v>
      </c>
      <c r="I42" s="95" t="s">
        <v>31</v>
      </c>
      <c r="J42" s="95">
        <v>132.9</v>
      </c>
      <c r="K42" s="95">
        <v>124.8</v>
      </c>
      <c r="L42" s="96">
        <v>93.9</v>
      </c>
      <c r="M42" s="56"/>
      <c r="N42" s="23">
        <v>2.0</v>
      </c>
      <c r="O42" s="95" t="s">
        <v>62</v>
      </c>
      <c r="P42" s="97" t="s">
        <v>148</v>
      </c>
      <c r="Q42" s="95">
        <f t="shared" si="2"/>
        <v>13.3</v>
      </c>
      <c r="R42" s="56"/>
      <c r="S42" s="23">
        <v>2.0</v>
      </c>
      <c r="T42" s="95" t="s">
        <v>39</v>
      </c>
      <c r="U42" s="95">
        <v>2402.6</v>
      </c>
      <c r="V42" s="95">
        <v>1704.9</v>
      </c>
      <c r="W42" s="95">
        <v>15.1</v>
      </c>
      <c r="X42" s="95">
        <f t="shared" si="3"/>
        <v>-29</v>
      </c>
      <c r="Y42" s="98"/>
    </row>
    <row r="43">
      <c r="A43" s="59">
        <v>3.0</v>
      </c>
      <c r="B43" s="77" t="s">
        <v>91</v>
      </c>
      <c r="C43" s="77">
        <v>85.0</v>
      </c>
      <c r="D43" s="77">
        <v>22.0</v>
      </c>
      <c r="E43" s="94">
        <v>107.0</v>
      </c>
      <c r="F43" s="56"/>
      <c r="G43" s="23">
        <v>3.0</v>
      </c>
      <c r="H43" s="95" t="s">
        <v>149</v>
      </c>
      <c r="I43" s="95" t="s">
        <v>25</v>
      </c>
      <c r="J43" s="95">
        <v>96.0</v>
      </c>
      <c r="K43" s="95">
        <v>89.8</v>
      </c>
      <c r="L43" s="96">
        <v>93.6</v>
      </c>
      <c r="M43" s="56"/>
      <c r="N43" s="23">
        <v>3.0</v>
      </c>
      <c r="O43" s="95" t="s">
        <v>63</v>
      </c>
      <c r="P43" s="97" t="s">
        <v>150</v>
      </c>
      <c r="Q43" s="95">
        <f t="shared" si="2"/>
        <v>12.4</v>
      </c>
      <c r="R43" s="56"/>
      <c r="S43" s="23">
        <v>3.0</v>
      </c>
      <c r="T43" s="95" t="s">
        <v>40</v>
      </c>
      <c r="U43" s="95">
        <v>1001.1</v>
      </c>
      <c r="V43" s="95">
        <v>804.6</v>
      </c>
      <c r="W43" s="95">
        <v>7.1</v>
      </c>
      <c r="X43" s="95">
        <f t="shared" si="3"/>
        <v>-19.6</v>
      </c>
      <c r="Y43" s="98"/>
    </row>
    <row r="44">
      <c r="A44" s="85">
        <v>46146.0</v>
      </c>
      <c r="B44" s="77" t="s">
        <v>132</v>
      </c>
      <c r="C44" s="77">
        <v>34.0</v>
      </c>
      <c r="D44" s="77">
        <v>17.0</v>
      </c>
      <c r="E44" s="94">
        <v>51.0</v>
      </c>
      <c r="F44" s="56"/>
      <c r="G44" s="23">
        <v>4.0</v>
      </c>
      <c r="H44" s="95" t="s">
        <v>100</v>
      </c>
      <c r="I44" s="95" t="s">
        <v>25</v>
      </c>
      <c r="J44" s="95">
        <v>159.7</v>
      </c>
      <c r="K44" s="95">
        <v>145.8</v>
      </c>
      <c r="L44" s="96">
        <v>91.3</v>
      </c>
      <c r="M44" s="56"/>
      <c r="N44" s="23">
        <v>4.0</v>
      </c>
      <c r="O44" s="95" t="s">
        <v>64</v>
      </c>
      <c r="P44" s="97" t="s">
        <v>151</v>
      </c>
      <c r="Q44" s="95">
        <f t="shared" si="2"/>
        <v>8</v>
      </c>
      <c r="R44" s="56"/>
      <c r="S44" s="23">
        <v>4.0</v>
      </c>
      <c r="T44" s="95" t="s">
        <v>41</v>
      </c>
      <c r="U44" s="95">
        <v>740.2</v>
      </c>
      <c r="V44" s="95">
        <v>763.8</v>
      </c>
      <c r="W44" s="95">
        <v>6.7</v>
      </c>
      <c r="X44" s="95">
        <f t="shared" si="3"/>
        <v>3.2</v>
      </c>
      <c r="Y44" s="99"/>
    </row>
    <row r="45">
      <c r="A45" s="85">
        <v>46146.0</v>
      </c>
      <c r="B45" s="77" t="s">
        <v>101</v>
      </c>
      <c r="C45" s="77">
        <v>25.0</v>
      </c>
      <c r="D45" s="77">
        <v>26.0</v>
      </c>
      <c r="E45" s="94">
        <v>51.0</v>
      </c>
      <c r="F45" s="56"/>
      <c r="G45" s="23">
        <v>5.0</v>
      </c>
      <c r="H45" s="95" t="s">
        <v>152</v>
      </c>
      <c r="I45" s="95" t="s">
        <v>28</v>
      </c>
      <c r="J45" s="95">
        <v>44.8</v>
      </c>
      <c r="K45" s="95">
        <v>41.0</v>
      </c>
      <c r="L45" s="96">
        <v>91.4</v>
      </c>
      <c r="M45" s="56"/>
      <c r="N45" s="23">
        <v>5.0</v>
      </c>
      <c r="O45" s="95" t="s">
        <v>65</v>
      </c>
      <c r="P45" s="97" t="s">
        <v>153</v>
      </c>
      <c r="Q45" s="95">
        <f t="shared" si="2"/>
        <v>6.2</v>
      </c>
      <c r="R45" s="56"/>
      <c r="S45" s="23">
        <v>5.0</v>
      </c>
      <c r="T45" s="95" t="s">
        <v>42</v>
      </c>
      <c r="U45" s="95">
        <v>832.2</v>
      </c>
      <c r="V45" s="95">
        <v>404.0</v>
      </c>
      <c r="W45" s="95">
        <v>3.6</v>
      </c>
      <c r="X45" s="95">
        <f t="shared" si="3"/>
        <v>-51.5</v>
      </c>
      <c r="Y45" s="98"/>
    </row>
    <row r="46">
      <c r="A46" s="59">
        <v>6.0</v>
      </c>
      <c r="B46" s="77" t="s">
        <v>104</v>
      </c>
      <c r="C46" s="77">
        <v>50.0</v>
      </c>
      <c r="D46" s="77">
        <v>0.0</v>
      </c>
      <c r="E46" s="94">
        <v>50.0</v>
      </c>
      <c r="F46" s="56"/>
      <c r="G46" s="23">
        <v>6.0</v>
      </c>
      <c r="H46" s="95" t="s">
        <v>154</v>
      </c>
      <c r="I46" s="95" t="s">
        <v>27</v>
      </c>
      <c r="J46" s="95">
        <v>104.2</v>
      </c>
      <c r="K46" s="95">
        <v>95.1</v>
      </c>
      <c r="L46" s="96">
        <v>91.3</v>
      </c>
      <c r="M46" s="56"/>
      <c r="N46" s="45"/>
      <c r="O46" s="98"/>
      <c r="P46" s="98"/>
      <c r="Q46" s="100"/>
      <c r="R46" s="56"/>
      <c r="S46" s="56"/>
      <c r="T46" s="56"/>
      <c r="U46" s="56"/>
      <c r="V46" s="56"/>
      <c r="W46" s="56"/>
      <c r="X46" s="56"/>
      <c r="Y46" s="56"/>
    </row>
    <row r="47">
      <c r="A47" s="59">
        <v>7.0</v>
      </c>
      <c r="B47" s="77" t="s">
        <v>106</v>
      </c>
      <c r="C47" s="77">
        <v>25.0</v>
      </c>
      <c r="D47" s="77">
        <v>22.0</v>
      </c>
      <c r="E47" s="94">
        <v>47.0</v>
      </c>
      <c r="F47" s="56"/>
      <c r="G47" s="23">
        <v>7.0</v>
      </c>
      <c r="H47" s="95" t="s">
        <v>130</v>
      </c>
      <c r="I47" s="95" t="s">
        <v>28</v>
      </c>
      <c r="J47" s="95">
        <v>22.7</v>
      </c>
      <c r="K47" s="95">
        <v>20.5</v>
      </c>
      <c r="L47" s="96">
        <v>90.4</v>
      </c>
      <c r="M47" s="56"/>
      <c r="N47" s="45"/>
      <c r="O47" s="98"/>
      <c r="P47" s="98"/>
      <c r="Q47" s="100"/>
      <c r="R47" s="56"/>
      <c r="S47" s="101"/>
      <c r="T47" s="74"/>
      <c r="U47" s="74"/>
      <c r="V47" s="74"/>
      <c r="W47" s="74"/>
      <c r="X47" s="56"/>
      <c r="Y47" s="56"/>
    </row>
    <row r="48">
      <c r="A48" s="59">
        <v>8.0</v>
      </c>
      <c r="B48" s="77" t="s">
        <v>109</v>
      </c>
      <c r="C48" s="77">
        <v>30.0</v>
      </c>
      <c r="D48" s="77">
        <v>16.0</v>
      </c>
      <c r="E48" s="94">
        <v>46.0</v>
      </c>
      <c r="F48" s="56"/>
      <c r="G48" s="23">
        <v>8.0</v>
      </c>
      <c r="H48" s="95" t="s">
        <v>155</v>
      </c>
      <c r="I48" s="95" t="s">
        <v>25</v>
      </c>
      <c r="J48" s="95">
        <v>49.3</v>
      </c>
      <c r="K48" s="95">
        <v>44.0</v>
      </c>
      <c r="L48" s="96">
        <v>89.1</v>
      </c>
      <c r="M48" s="56"/>
      <c r="N48" s="45"/>
      <c r="O48" s="45"/>
      <c r="P48" s="45"/>
      <c r="Q48" s="45"/>
      <c r="R48" s="56"/>
      <c r="S48" s="102"/>
      <c r="T48" s="103"/>
      <c r="U48" s="103"/>
      <c r="V48" s="103"/>
      <c r="W48" s="21"/>
      <c r="X48" s="56"/>
      <c r="Y48" s="56"/>
    </row>
    <row r="49">
      <c r="A49" s="59">
        <v>9.0</v>
      </c>
      <c r="B49" s="77" t="s">
        <v>93</v>
      </c>
      <c r="C49" s="77">
        <v>42.0</v>
      </c>
      <c r="D49" s="77">
        <v>3.0</v>
      </c>
      <c r="E49" s="94">
        <v>45.0</v>
      </c>
      <c r="F49" s="56"/>
      <c r="G49" s="23">
        <v>9.0</v>
      </c>
      <c r="H49" s="95" t="s">
        <v>129</v>
      </c>
      <c r="I49" s="95" t="s">
        <v>32</v>
      </c>
      <c r="J49" s="95">
        <v>13.4</v>
      </c>
      <c r="K49" s="95">
        <v>11.7</v>
      </c>
      <c r="L49" s="96">
        <v>87.3</v>
      </c>
      <c r="M49" s="56"/>
      <c r="N49" s="56"/>
      <c r="O49" s="56"/>
      <c r="P49" s="56"/>
      <c r="Q49" s="56"/>
      <c r="R49" s="56"/>
      <c r="S49" s="102"/>
      <c r="T49" s="103"/>
      <c r="U49" s="103"/>
      <c r="V49" s="103"/>
      <c r="W49" s="21"/>
      <c r="X49" s="56"/>
      <c r="Y49" s="56"/>
    </row>
    <row r="50">
      <c r="A50" s="59">
        <v>10.0</v>
      </c>
      <c r="B50" s="77" t="s">
        <v>94</v>
      </c>
      <c r="C50" s="77">
        <v>27.0</v>
      </c>
      <c r="D50" s="77">
        <v>10.0</v>
      </c>
      <c r="E50" s="94">
        <v>37.0</v>
      </c>
      <c r="F50" s="56"/>
      <c r="G50" s="23">
        <v>10.0</v>
      </c>
      <c r="H50" s="95" t="s">
        <v>90</v>
      </c>
      <c r="I50" s="95" t="s">
        <v>29</v>
      </c>
      <c r="J50" s="95">
        <v>402.3</v>
      </c>
      <c r="K50" s="95">
        <v>346.4</v>
      </c>
      <c r="L50" s="96">
        <v>86.1</v>
      </c>
      <c r="M50" s="56"/>
      <c r="N50" s="56"/>
      <c r="O50" s="56"/>
      <c r="P50" s="56"/>
      <c r="Q50" s="56"/>
      <c r="R50" s="56"/>
      <c r="S50" s="102"/>
      <c r="T50" s="103"/>
      <c r="U50" s="21"/>
      <c r="V50" s="21"/>
      <c r="W50" s="21"/>
      <c r="X50" s="56"/>
      <c r="Y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102"/>
      <c r="T51" s="21"/>
      <c r="U51" s="21"/>
      <c r="V51" s="21"/>
      <c r="W51" s="104"/>
      <c r="X51" s="56"/>
      <c r="Y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102"/>
      <c r="T52" s="21"/>
      <c r="U52" s="21"/>
      <c r="V52" s="21"/>
      <c r="W52" s="21"/>
      <c r="X52" s="56"/>
      <c r="Y52" s="56"/>
    </row>
    <row r="53" ht="336.75" customHeight="1">
      <c r="A53" s="105" t="s">
        <v>156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2"/>
      <c r="M53" s="56"/>
      <c r="N53" s="56"/>
      <c r="O53" s="56"/>
      <c r="P53" s="56"/>
      <c r="Q53" s="56"/>
      <c r="R53" s="56"/>
      <c r="S53" s="106"/>
      <c r="T53" s="52"/>
      <c r="U53" s="52"/>
      <c r="V53" s="52"/>
      <c r="W53" s="52"/>
      <c r="X53" s="56"/>
      <c r="Y53" s="56"/>
    </row>
    <row r="54">
      <c r="A54" s="107"/>
      <c r="B54" s="107"/>
      <c r="C54" s="107"/>
      <c r="D54" s="107"/>
      <c r="E54" s="107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</row>
    <row r="55">
      <c r="A55" s="107"/>
      <c r="B55" s="107"/>
      <c r="C55" s="107"/>
      <c r="D55" s="107"/>
      <c r="E55" s="107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</row>
    <row r="56">
      <c r="A56" s="107"/>
      <c r="B56" s="107"/>
      <c r="C56" s="107"/>
      <c r="D56" s="107"/>
      <c r="E56" s="107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</row>
    <row r="57">
      <c r="A57" s="107"/>
      <c r="B57" s="107"/>
      <c r="C57" s="107"/>
      <c r="D57" s="107"/>
      <c r="E57" s="107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</row>
    <row r="58">
      <c r="A58" s="107"/>
      <c r="B58" s="107"/>
      <c r="C58" s="107"/>
      <c r="D58" s="107"/>
      <c r="E58" s="107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</row>
    <row r="59">
      <c r="A59" s="107"/>
      <c r="B59" s="107"/>
      <c r="C59" s="107"/>
      <c r="D59" s="107"/>
      <c r="E59" s="107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>
      <c r="A60" s="107"/>
      <c r="B60" s="107"/>
      <c r="C60" s="107"/>
      <c r="D60" s="107"/>
      <c r="E60" s="107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</row>
  </sheetData>
  <mergeCells count="10">
    <mergeCell ref="N39:Q39"/>
    <mergeCell ref="S39:X39"/>
    <mergeCell ref="A1:E1"/>
    <mergeCell ref="G1:L1"/>
    <mergeCell ref="N1:S1"/>
    <mergeCell ref="A20:E20"/>
    <mergeCell ref="G20:L20"/>
    <mergeCell ref="A39:E39"/>
    <mergeCell ref="G39:L39"/>
    <mergeCell ref="A53:L53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2.0"/>
  </cols>
  <sheetData>
    <row r="1">
      <c r="A1" s="108" t="s">
        <v>157</v>
      </c>
      <c r="B1" s="39"/>
      <c r="C1" s="39"/>
      <c r="D1" s="39"/>
      <c r="E1" s="39"/>
      <c r="F1" s="39"/>
      <c r="G1" s="2"/>
      <c r="H1" s="109"/>
    </row>
    <row r="2">
      <c r="A2" s="59" t="s">
        <v>73</v>
      </c>
      <c r="B2" s="59" t="s">
        <v>74</v>
      </c>
      <c r="C2" s="59" t="s">
        <v>158</v>
      </c>
      <c r="D2" s="59" t="s">
        <v>159</v>
      </c>
      <c r="E2" s="59" t="s">
        <v>160</v>
      </c>
      <c r="F2" s="59" t="s">
        <v>161</v>
      </c>
      <c r="G2" s="59" t="s">
        <v>76</v>
      </c>
      <c r="H2" s="109"/>
    </row>
    <row r="3">
      <c r="A3" s="110" t="s">
        <v>162</v>
      </c>
      <c r="B3" s="3" t="s">
        <v>25</v>
      </c>
      <c r="C3" s="3" t="s">
        <v>163</v>
      </c>
      <c r="D3" s="111">
        <v>46158.0</v>
      </c>
      <c r="E3" s="3" t="s">
        <v>164</v>
      </c>
      <c r="F3" s="3" t="s">
        <v>165</v>
      </c>
      <c r="G3" s="3" t="s">
        <v>166</v>
      </c>
    </row>
    <row r="4">
      <c r="A4" s="110" t="s">
        <v>167</v>
      </c>
      <c r="B4" s="3" t="s">
        <v>25</v>
      </c>
      <c r="C4" s="3" t="s">
        <v>168</v>
      </c>
      <c r="D4" s="3" t="s">
        <v>169</v>
      </c>
      <c r="E4" s="3" t="s">
        <v>170</v>
      </c>
      <c r="F4" s="3" t="s">
        <v>171</v>
      </c>
      <c r="G4" s="3" t="s">
        <v>172</v>
      </c>
    </row>
    <row r="5">
      <c r="A5" s="110" t="s">
        <v>149</v>
      </c>
      <c r="B5" s="3" t="s">
        <v>25</v>
      </c>
      <c r="C5" s="3" t="s">
        <v>173</v>
      </c>
      <c r="D5" s="3" t="s">
        <v>174</v>
      </c>
      <c r="E5" s="3" t="s">
        <v>175</v>
      </c>
      <c r="F5" s="3" t="s">
        <v>176</v>
      </c>
      <c r="G5" s="3" t="s">
        <v>177</v>
      </c>
    </row>
    <row r="6">
      <c r="A6" s="110" t="s">
        <v>178</v>
      </c>
      <c r="B6" s="3" t="s">
        <v>25</v>
      </c>
      <c r="C6" s="3" t="s">
        <v>179</v>
      </c>
      <c r="D6" s="111">
        <v>46098.0</v>
      </c>
      <c r="E6" s="3" t="s">
        <v>180</v>
      </c>
      <c r="F6" s="3" t="s">
        <v>181</v>
      </c>
      <c r="G6" s="3" t="s">
        <v>182</v>
      </c>
    </row>
    <row r="7">
      <c r="A7" s="110" t="s">
        <v>128</v>
      </c>
      <c r="B7" s="3" t="s">
        <v>25</v>
      </c>
      <c r="C7" s="3" t="s">
        <v>183</v>
      </c>
      <c r="D7" s="111">
        <v>46068.0</v>
      </c>
      <c r="E7" s="3" t="s">
        <v>184</v>
      </c>
      <c r="F7" s="111">
        <v>46069.0</v>
      </c>
      <c r="G7" s="111">
        <v>46162.0</v>
      </c>
    </row>
    <row r="8">
      <c r="A8" s="110" t="s">
        <v>185</v>
      </c>
      <c r="B8" s="3" t="s">
        <v>25</v>
      </c>
      <c r="C8" s="3" t="s">
        <v>186</v>
      </c>
      <c r="D8" s="111">
        <v>46257.0</v>
      </c>
      <c r="E8" s="3" t="s">
        <v>187</v>
      </c>
      <c r="F8" s="3" t="s">
        <v>188</v>
      </c>
      <c r="G8" s="3" t="s">
        <v>189</v>
      </c>
    </row>
    <row r="9">
      <c r="A9" s="110" t="s">
        <v>190</v>
      </c>
      <c r="B9" s="3" t="s">
        <v>25</v>
      </c>
      <c r="C9" s="112" t="s">
        <v>191</v>
      </c>
      <c r="D9" s="111">
        <v>46273.0</v>
      </c>
      <c r="E9" s="112" t="s">
        <v>192</v>
      </c>
      <c r="F9" s="3" t="s">
        <v>193</v>
      </c>
      <c r="G9" s="111">
        <v>46024.0</v>
      </c>
    </row>
    <row r="10">
      <c r="A10" s="110" t="s">
        <v>194</v>
      </c>
      <c r="B10" s="3" t="s">
        <v>25</v>
      </c>
      <c r="C10" s="3" t="s">
        <v>195</v>
      </c>
      <c r="D10" s="111">
        <v>46149.0</v>
      </c>
      <c r="E10" s="3" t="s">
        <v>196</v>
      </c>
      <c r="F10" s="3" t="s">
        <v>197</v>
      </c>
      <c r="G10" s="3" t="s">
        <v>198</v>
      </c>
    </row>
    <row r="11">
      <c r="A11" s="110" t="s">
        <v>199</v>
      </c>
      <c r="B11" s="3" t="s">
        <v>25</v>
      </c>
      <c r="C11" s="3" t="s">
        <v>200</v>
      </c>
      <c r="D11" s="3" t="s">
        <v>201</v>
      </c>
      <c r="E11" s="3" t="s">
        <v>202</v>
      </c>
      <c r="F11" s="3" t="s">
        <v>203</v>
      </c>
      <c r="G11" s="3" t="s">
        <v>204</v>
      </c>
    </row>
    <row r="12">
      <c r="A12" s="110" t="s">
        <v>96</v>
      </c>
      <c r="B12" s="3" t="s">
        <v>25</v>
      </c>
      <c r="C12" s="112">
        <v>326254.0</v>
      </c>
      <c r="D12" s="3" t="s">
        <v>205</v>
      </c>
      <c r="E12" s="3" t="s">
        <v>206</v>
      </c>
      <c r="F12" s="3" t="s">
        <v>207</v>
      </c>
      <c r="G12" s="111">
        <v>46195.0</v>
      </c>
    </row>
    <row r="13">
      <c r="A13" s="110" t="s">
        <v>155</v>
      </c>
      <c r="B13" s="3" t="s">
        <v>25</v>
      </c>
      <c r="C13" s="3" t="s">
        <v>208</v>
      </c>
      <c r="D13" s="111">
        <v>46150.0</v>
      </c>
      <c r="E13" s="3" t="s">
        <v>209</v>
      </c>
      <c r="F13" s="3" t="s">
        <v>210</v>
      </c>
      <c r="G13" s="3" t="s">
        <v>211</v>
      </c>
    </row>
    <row r="14">
      <c r="A14" s="110" t="s">
        <v>131</v>
      </c>
      <c r="B14" s="3" t="s">
        <v>25</v>
      </c>
      <c r="C14" s="3" t="s">
        <v>212</v>
      </c>
      <c r="D14" s="111">
        <v>46147.0</v>
      </c>
      <c r="E14" s="3" t="s">
        <v>213</v>
      </c>
      <c r="F14" s="111">
        <v>46228.0</v>
      </c>
      <c r="G14" s="111">
        <v>46224.0</v>
      </c>
    </row>
    <row r="15">
      <c r="A15" s="110" t="s">
        <v>214</v>
      </c>
      <c r="B15" s="3" t="s">
        <v>25</v>
      </c>
      <c r="C15" s="3" t="s">
        <v>215</v>
      </c>
      <c r="D15" s="111">
        <v>46093.0</v>
      </c>
      <c r="E15" s="3" t="s">
        <v>216</v>
      </c>
      <c r="F15" s="3" t="s">
        <v>217</v>
      </c>
      <c r="G15" s="3" t="s">
        <v>218</v>
      </c>
    </row>
    <row r="16">
      <c r="A16" s="110" t="s">
        <v>219</v>
      </c>
      <c r="B16" s="3" t="s">
        <v>25</v>
      </c>
      <c r="C16" s="3" t="s">
        <v>220</v>
      </c>
      <c r="D16" s="111">
        <v>46089.0</v>
      </c>
      <c r="E16" s="3" t="s">
        <v>221</v>
      </c>
      <c r="F16" s="3" t="s">
        <v>222</v>
      </c>
      <c r="G16" s="3" t="s">
        <v>223</v>
      </c>
    </row>
    <row r="17">
      <c r="A17" s="110" t="s">
        <v>224</v>
      </c>
      <c r="B17" s="3" t="s">
        <v>25</v>
      </c>
      <c r="C17" s="112" t="s">
        <v>225</v>
      </c>
      <c r="D17" s="111">
        <v>46291.0</v>
      </c>
      <c r="E17" s="112" t="s">
        <v>226</v>
      </c>
      <c r="F17" s="3" t="s">
        <v>227</v>
      </c>
      <c r="G17" s="111">
        <v>46179.0</v>
      </c>
    </row>
    <row r="18">
      <c r="A18" s="110" t="s">
        <v>228</v>
      </c>
      <c r="B18" s="3" t="s">
        <v>25</v>
      </c>
      <c r="C18" s="3" t="s">
        <v>229</v>
      </c>
      <c r="D18" s="3" t="s">
        <v>230</v>
      </c>
      <c r="E18" s="3" t="s">
        <v>231</v>
      </c>
      <c r="F18" s="3" t="s">
        <v>232</v>
      </c>
      <c r="G18" s="3" t="s">
        <v>233</v>
      </c>
    </row>
    <row r="19">
      <c r="A19" s="110" t="s">
        <v>100</v>
      </c>
      <c r="B19" s="3" t="s">
        <v>25</v>
      </c>
      <c r="C19" s="3" t="s">
        <v>234</v>
      </c>
      <c r="D19" s="111">
        <v>46130.0</v>
      </c>
      <c r="E19" s="3" t="s">
        <v>235</v>
      </c>
      <c r="F19" s="3" t="s">
        <v>236</v>
      </c>
      <c r="G19" s="3" t="s">
        <v>237</v>
      </c>
    </row>
    <row r="20">
      <c r="A20" s="110" t="s">
        <v>104</v>
      </c>
      <c r="B20" s="3" t="s">
        <v>25</v>
      </c>
      <c r="C20" s="3" t="s">
        <v>238</v>
      </c>
      <c r="D20" s="111">
        <v>46143.0</v>
      </c>
      <c r="E20" s="112" t="s">
        <v>239</v>
      </c>
      <c r="F20" s="3" t="s">
        <v>240</v>
      </c>
      <c r="G20" s="111">
        <v>46191.0</v>
      </c>
    </row>
    <row r="21">
      <c r="A21" s="110" t="s">
        <v>89</v>
      </c>
      <c r="B21" s="3" t="s">
        <v>26</v>
      </c>
      <c r="C21" s="3" t="s">
        <v>241</v>
      </c>
      <c r="D21" s="111">
        <v>46179.0</v>
      </c>
      <c r="E21" s="3" t="s">
        <v>242</v>
      </c>
      <c r="F21" s="3" t="s">
        <v>243</v>
      </c>
      <c r="G21" s="3" t="s">
        <v>244</v>
      </c>
    </row>
    <row r="22">
      <c r="A22" s="110" t="s">
        <v>245</v>
      </c>
      <c r="B22" s="3" t="s">
        <v>26</v>
      </c>
      <c r="C22" s="3" t="s">
        <v>246</v>
      </c>
      <c r="D22" s="111">
        <v>46091.0</v>
      </c>
      <c r="E22" s="3" t="s">
        <v>247</v>
      </c>
      <c r="F22" s="3" t="s">
        <v>248</v>
      </c>
      <c r="G22" s="111">
        <v>46126.0</v>
      </c>
    </row>
    <row r="23">
      <c r="A23" s="110" t="s">
        <v>118</v>
      </c>
      <c r="B23" s="3" t="s">
        <v>26</v>
      </c>
      <c r="C23" s="111">
        <v>46132.0</v>
      </c>
      <c r="D23" s="3" t="s">
        <v>249</v>
      </c>
      <c r="E23" s="111">
        <v>46204.0</v>
      </c>
      <c r="F23" s="3" t="s">
        <v>250</v>
      </c>
      <c r="G23" s="3" t="s">
        <v>250</v>
      </c>
    </row>
    <row r="24">
      <c r="A24" s="110" t="s">
        <v>86</v>
      </c>
      <c r="B24" s="3" t="s">
        <v>26</v>
      </c>
      <c r="C24" s="3" t="s">
        <v>251</v>
      </c>
      <c r="D24" s="111">
        <v>46130.0</v>
      </c>
      <c r="E24" s="3" t="s">
        <v>252</v>
      </c>
      <c r="F24" s="3" t="s">
        <v>253</v>
      </c>
      <c r="G24" s="3" t="s">
        <v>254</v>
      </c>
    </row>
    <row r="25">
      <c r="A25" s="110" t="s">
        <v>255</v>
      </c>
      <c r="B25" s="3" t="s">
        <v>26</v>
      </c>
      <c r="C25" s="3" t="s">
        <v>256</v>
      </c>
      <c r="D25" s="111">
        <v>46244.0</v>
      </c>
      <c r="E25" s="3" t="s">
        <v>257</v>
      </c>
      <c r="F25" s="3" t="s">
        <v>258</v>
      </c>
      <c r="G25" s="3" t="s">
        <v>259</v>
      </c>
    </row>
    <row r="26">
      <c r="A26" s="110" t="s">
        <v>260</v>
      </c>
      <c r="B26" s="3" t="s">
        <v>26</v>
      </c>
      <c r="C26" s="3" t="s">
        <v>261</v>
      </c>
      <c r="D26" s="111">
        <v>46270.0</v>
      </c>
      <c r="E26" s="3" t="s">
        <v>262</v>
      </c>
      <c r="F26" s="3" t="s">
        <v>263</v>
      </c>
      <c r="G26" s="3" t="s">
        <v>204</v>
      </c>
    </row>
    <row r="27">
      <c r="A27" s="110" t="s">
        <v>97</v>
      </c>
      <c r="B27" s="3" t="s">
        <v>26</v>
      </c>
      <c r="C27" s="112">
        <v>680539.0</v>
      </c>
      <c r="D27" s="3" t="s">
        <v>264</v>
      </c>
      <c r="E27" s="112">
        <v>651350.0</v>
      </c>
      <c r="F27" s="3" t="s">
        <v>265</v>
      </c>
      <c r="G27" s="111">
        <v>46088.0</v>
      </c>
    </row>
    <row r="28">
      <c r="A28" s="110" t="s">
        <v>91</v>
      </c>
      <c r="B28" s="3" t="s">
        <v>26</v>
      </c>
      <c r="C28" s="112" t="s">
        <v>266</v>
      </c>
      <c r="D28" s="111">
        <v>46183.0</v>
      </c>
      <c r="E28" s="112" t="s">
        <v>267</v>
      </c>
      <c r="F28" s="3" t="s">
        <v>181</v>
      </c>
      <c r="G28" s="111">
        <v>46180.0</v>
      </c>
    </row>
    <row r="29">
      <c r="A29" s="110" t="s">
        <v>133</v>
      </c>
      <c r="B29" s="3" t="s">
        <v>26</v>
      </c>
      <c r="C29" s="3" t="s">
        <v>268</v>
      </c>
      <c r="D29" s="111">
        <v>46186.0</v>
      </c>
      <c r="E29" s="3" t="s">
        <v>269</v>
      </c>
      <c r="F29" s="111">
        <v>46190.0</v>
      </c>
      <c r="G29" s="111">
        <v>46226.0</v>
      </c>
    </row>
    <row r="30">
      <c r="A30" s="110" t="s">
        <v>270</v>
      </c>
      <c r="B30" s="3" t="s">
        <v>26</v>
      </c>
      <c r="C30" s="3" t="s">
        <v>243</v>
      </c>
      <c r="D30" s="111">
        <v>46146.0</v>
      </c>
      <c r="E30" s="3" t="s">
        <v>271</v>
      </c>
      <c r="F30" s="3" t="s">
        <v>272</v>
      </c>
      <c r="G30" s="3" t="s">
        <v>273</v>
      </c>
    </row>
    <row r="31">
      <c r="A31" s="110" t="s">
        <v>85</v>
      </c>
      <c r="B31" s="3" t="s">
        <v>26</v>
      </c>
      <c r="C31" s="3" t="s">
        <v>274</v>
      </c>
      <c r="D31" s="3" t="s">
        <v>275</v>
      </c>
      <c r="E31" s="112" t="s">
        <v>276</v>
      </c>
      <c r="F31" s="3" t="s">
        <v>277</v>
      </c>
      <c r="G31" s="3" t="s">
        <v>278</v>
      </c>
    </row>
    <row r="32">
      <c r="A32" s="110" t="s">
        <v>121</v>
      </c>
      <c r="B32" s="3" t="s">
        <v>27</v>
      </c>
      <c r="C32" s="3" t="s">
        <v>279</v>
      </c>
      <c r="D32" s="111">
        <v>46095.0</v>
      </c>
      <c r="E32" s="3" t="s">
        <v>280</v>
      </c>
      <c r="F32" s="111">
        <v>46082.0</v>
      </c>
      <c r="G32" s="3" t="s">
        <v>281</v>
      </c>
    </row>
    <row r="33">
      <c r="A33" s="110" t="s">
        <v>127</v>
      </c>
      <c r="B33" s="3" t="s">
        <v>27</v>
      </c>
      <c r="C33" s="3" t="s">
        <v>282</v>
      </c>
      <c r="D33" s="3" t="s">
        <v>283</v>
      </c>
      <c r="E33" s="111">
        <v>46065.0</v>
      </c>
      <c r="F33" s="3" t="s">
        <v>284</v>
      </c>
      <c r="G33" s="3" t="s">
        <v>285</v>
      </c>
    </row>
    <row r="34">
      <c r="A34" s="110" t="s">
        <v>154</v>
      </c>
      <c r="B34" s="3" t="s">
        <v>27</v>
      </c>
      <c r="C34" s="3" t="s">
        <v>286</v>
      </c>
      <c r="D34" s="3" t="s">
        <v>287</v>
      </c>
      <c r="E34" s="3" t="s">
        <v>288</v>
      </c>
      <c r="F34" s="3" t="s">
        <v>289</v>
      </c>
      <c r="G34" s="3" t="s">
        <v>237</v>
      </c>
    </row>
    <row r="35">
      <c r="A35" s="110" t="s">
        <v>134</v>
      </c>
      <c r="B35" s="3" t="s">
        <v>27</v>
      </c>
      <c r="C35" s="112">
        <v>781042.0</v>
      </c>
      <c r="D35" s="3" t="s">
        <v>290</v>
      </c>
      <c r="E35" s="112">
        <v>546221.0</v>
      </c>
      <c r="F35" s="3" t="s">
        <v>291</v>
      </c>
      <c r="G35" s="111">
        <v>46207.0</v>
      </c>
    </row>
    <row r="36">
      <c r="A36" s="110" t="s">
        <v>292</v>
      </c>
      <c r="B36" s="3" t="s">
        <v>27</v>
      </c>
      <c r="C36" s="3" t="s">
        <v>293</v>
      </c>
      <c r="D36" s="3" t="s">
        <v>294</v>
      </c>
      <c r="E36" s="3" t="s">
        <v>295</v>
      </c>
      <c r="F36" s="3" t="s">
        <v>296</v>
      </c>
      <c r="G36" s="111">
        <v>46096.0</v>
      </c>
    </row>
    <row r="37">
      <c r="A37" s="110" t="s">
        <v>297</v>
      </c>
      <c r="B37" s="3" t="s">
        <v>27</v>
      </c>
      <c r="C37" s="3" t="s">
        <v>298</v>
      </c>
      <c r="D37" s="3" t="s">
        <v>299</v>
      </c>
      <c r="E37" s="3" t="s">
        <v>300</v>
      </c>
      <c r="F37" s="3" t="s">
        <v>301</v>
      </c>
      <c r="G37" s="3" t="s">
        <v>302</v>
      </c>
    </row>
    <row r="38">
      <c r="A38" s="110" t="s">
        <v>105</v>
      </c>
      <c r="B38" s="3" t="s">
        <v>27</v>
      </c>
      <c r="C38" s="3" t="s">
        <v>303</v>
      </c>
      <c r="D38" s="3" t="s">
        <v>304</v>
      </c>
      <c r="E38" s="112" t="s">
        <v>305</v>
      </c>
      <c r="F38" s="3" t="s">
        <v>306</v>
      </c>
      <c r="G38" s="111">
        <v>46037.0</v>
      </c>
    </row>
    <row r="39">
      <c r="A39" s="110" t="s">
        <v>307</v>
      </c>
      <c r="B39" s="3" t="s">
        <v>27</v>
      </c>
      <c r="C39" s="3" t="s">
        <v>308</v>
      </c>
      <c r="D39" s="111">
        <v>46219.0</v>
      </c>
      <c r="E39" s="111">
        <v>46292.0</v>
      </c>
      <c r="F39" s="111">
        <v>46075.0</v>
      </c>
      <c r="G39" s="3" t="s">
        <v>309</v>
      </c>
    </row>
    <row r="40">
      <c r="A40" s="110" t="s">
        <v>122</v>
      </c>
      <c r="B40" s="3" t="s">
        <v>28</v>
      </c>
      <c r="C40" s="112" t="s">
        <v>310</v>
      </c>
      <c r="D40" s="3" t="s">
        <v>311</v>
      </c>
      <c r="E40" s="3" t="s">
        <v>312</v>
      </c>
      <c r="F40" s="111">
        <v>46149.0</v>
      </c>
      <c r="G40" s="111">
        <v>46055.0</v>
      </c>
    </row>
    <row r="41">
      <c r="A41" s="110" t="s">
        <v>120</v>
      </c>
      <c r="B41" s="3" t="s">
        <v>28</v>
      </c>
      <c r="C41" s="3" t="s">
        <v>313</v>
      </c>
      <c r="D41" s="111">
        <v>46156.0</v>
      </c>
      <c r="E41" s="111">
        <v>46175.0</v>
      </c>
      <c r="F41" s="3" t="s">
        <v>314</v>
      </c>
      <c r="G41" s="111">
        <v>46166.0</v>
      </c>
    </row>
    <row r="42">
      <c r="A42" s="110" t="s">
        <v>130</v>
      </c>
      <c r="B42" s="3" t="s">
        <v>28</v>
      </c>
      <c r="C42" s="3" t="s">
        <v>315</v>
      </c>
      <c r="D42" s="3" t="s">
        <v>316</v>
      </c>
      <c r="E42" s="111">
        <v>46225.0</v>
      </c>
      <c r="F42" s="111">
        <v>46162.0</v>
      </c>
      <c r="G42" s="3" t="s">
        <v>317</v>
      </c>
    </row>
    <row r="43">
      <c r="A43" s="110" t="s">
        <v>152</v>
      </c>
      <c r="B43" s="3" t="s">
        <v>28</v>
      </c>
      <c r="C43" s="112">
        <v>104917.0</v>
      </c>
      <c r="D43" s="3" t="s">
        <v>318</v>
      </c>
      <c r="E43" s="3" t="s">
        <v>319</v>
      </c>
      <c r="F43" s="3" t="s">
        <v>320</v>
      </c>
      <c r="G43" s="3" t="s">
        <v>321</v>
      </c>
    </row>
    <row r="44">
      <c r="A44" s="110" t="s">
        <v>322</v>
      </c>
      <c r="B44" s="3" t="s">
        <v>28</v>
      </c>
      <c r="C44" s="112" t="s">
        <v>323</v>
      </c>
      <c r="D44" s="3" t="s">
        <v>324</v>
      </c>
      <c r="E44" s="3" t="s">
        <v>325</v>
      </c>
      <c r="F44" s="3" t="s">
        <v>326</v>
      </c>
      <c r="G44" s="3" t="s">
        <v>327</v>
      </c>
    </row>
    <row r="45">
      <c r="A45" s="110" t="s">
        <v>117</v>
      </c>
      <c r="B45" s="3" t="s">
        <v>28</v>
      </c>
      <c r="C45" s="3" t="s">
        <v>328</v>
      </c>
      <c r="D45" s="111">
        <v>46130.0</v>
      </c>
      <c r="E45" s="3" t="s">
        <v>329</v>
      </c>
      <c r="F45" s="3" t="s">
        <v>250</v>
      </c>
      <c r="G45" s="3" t="s">
        <v>250</v>
      </c>
    </row>
    <row r="46">
      <c r="A46" s="110" t="s">
        <v>330</v>
      </c>
      <c r="B46" s="3" t="s">
        <v>28</v>
      </c>
      <c r="C46" s="112">
        <v>380981.0</v>
      </c>
      <c r="D46" s="3" t="s">
        <v>331</v>
      </c>
      <c r="E46" s="112" t="s">
        <v>332</v>
      </c>
      <c r="F46" s="3" t="s">
        <v>333</v>
      </c>
      <c r="G46" s="111">
        <v>46087.0</v>
      </c>
    </row>
    <row r="47">
      <c r="A47" s="110" t="s">
        <v>110</v>
      </c>
      <c r="B47" s="3" t="s">
        <v>29</v>
      </c>
      <c r="C47" s="3" t="s">
        <v>334</v>
      </c>
      <c r="D47" s="3" t="s">
        <v>335</v>
      </c>
      <c r="E47" s="3" t="s">
        <v>336</v>
      </c>
      <c r="F47" s="3" t="s">
        <v>337</v>
      </c>
      <c r="G47" s="3" t="s">
        <v>338</v>
      </c>
    </row>
    <row r="48">
      <c r="A48" s="110" t="s">
        <v>339</v>
      </c>
      <c r="B48" s="3" t="s">
        <v>29</v>
      </c>
      <c r="C48" s="3" t="s">
        <v>340</v>
      </c>
      <c r="D48" s="111">
        <v>46237.0</v>
      </c>
      <c r="E48" s="3" t="s">
        <v>341</v>
      </c>
      <c r="F48" s="111">
        <v>46231.0</v>
      </c>
      <c r="G48" s="3" t="s">
        <v>342</v>
      </c>
    </row>
    <row r="49">
      <c r="A49" s="110" t="s">
        <v>124</v>
      </c>
      <c r="B49" s="3" t="s">
        <v>29</v>
      </c>
      <c r="C49" s="3" t="s">
        <v>343</v>
      </c>
      <c r="D49" s="111">
        <v>46240.0</v>
      </c>
      <c r="E49" s="111">
        <v>46142.0</v>
      </c>
      <c r="F49" s="3" t="s">
        <v>344</v>
      </c>
      <c r="G49" s="111">
        <v>46128.0</v>
      </c>
    </row>
    <row r="50">
      <c r="A50" s="110" t="s">
        <v>107</v>
      </c>
      <c r="B50" s="3" t="s">
        <v>29</v>
      </c>
      <c r="C50" s="3" t="s">
        <v>345</v>
      </c>
      <c r="D50" s="3" t="s">
        <v>346</v>
      </c>
      <c r="E50" s="3" t="s">
        <v>347</v>
      </c>
      <c r="F50" s="3" t="s">
        <v>348</v>
      </c>
      <c r="G50" s="3" t="s">
        <v>349</v>
      </c>
    </row>
    <row r="51">
      <c r="A51" s="110" t="s">
        <v>350</v>
      </c>
      <c r="B51" s="3" t="s">
        <v>29</v>
      </c>
      <c r="C51" s="3" t="s">
        <v>351</v>
      </c>
      <c r="D51" s="111">
        <v>46071.0</v>
      </c>
      <c r="E51" s="3" t="s">
        <v>352</v>
      </c>
      <c r="F51" s="3" t="s">
        <v>353</v>
      </c>
      <c r="G51" s="3" t="s">
        <v>354</v>
      </c>
    </row>
    <row r="52">
      <c r="A52" s="110" t="s">
        <v>355</v>
      </c>
      <c r="B52" s="3" t="s">
        <v>29</v>
      </c>
      <c r="C52" s="3" t="s">
        <v>356</v>
      </c>
      <c r="D52" s="111">
        <v>46084.0</v>
      </c>
      <c r="E52" s="3" t="s">
        <v>357</v>
      </c>
      <c r="F52" s="3" t="s">
        <v>358</v>
      </c>
      <c r="G52" s="3" t="s">
        <v>359</v>
      </c>
    </row>
    <row r="53">
      <c r="A53" s="110" t="s">
        <v>360</v>
      </c>
      <c r="B53" s="3" t="s">
        <v>29</v>
      </c>
      <c r="C53" s="112" t="s">
        <v>361</v>
      </c>
      <c r="D53" s="3" t="s">
        <v>362</v>
      </c>
      <c r="E53" s="3" t="s">
        <v>363</v>
      </c>
      <c r="F53" s="3" t="s">
        <v>364</v>
      </c>
      <c r="G53" s="111">
        <v>46272.0</v>
      </c>
    </row>
    <row r="54">
      <c r="A54" s="110" t="s">
        <v>365</v>
      </c>
      <c r="B54" s="3" t="s">
        <v>29</v>
      </c>
      <c r="C54" s="3" t="s">
        <v>366</v>
      </c>
      <c r="D54" s="111">
        <v>46025.0</v>
      </c>
      <c r="E54" s="3" t="s">
        <v>367</v>
      </c>
      <c r="F54" s="3" t="s">
        <v>368</v>
      </c>
      <c r="G54" s="3" t="s">
        <v>309</v>
      </c>
    </row>
    <row r="55">
      <c r="A55" s="110" t="s">
        <v>92</v>
      </c>
      <c r="B55" s="3" t="s">
        <v>29</v>
      </c>
      <c r="C55" s="3" t="s">
        <v>369</v>
      </c>
      <c r="D55" s="3" t="s">
        <v>370</v>
      </c>
      <c r="E55" s="3" t="s">
        <v>371</v>
      </c>
      <c r="F55" s="3" t="s">
        <v>372</v>
      </c>
      <c r="G55" s="3" t="s">
        <v>373</v>
      </c>
    </row>
    <row r="56">
      <c r="A56" s="110" t="s">
        <v>374</v>
      </c>
      <c r="B56" s="3" t="s">
        <v>29</v>
      </c>
      <c r="C56" s="3" t="s">
        <v>375</v>
      </c>
      <c r="D56" s="111">
        <v>46138.0</v>
      </c>
      <c r="E56" s="3" t="s">
        <v>376</v>
      </c>
      <c r="F56" s="3" t="s">
        <v>377</v>
      </c>
      <c r="G56" s="111">
        <v>46154.0</v>
      </c>
    </row>
    <row r="57">
      <c r="A57" s="110" t="s">
        <v>378</v>
      </c>
      <c r="B57" s="3" t="s">
        <v>29</v>
      </c>
      <c r="C57" s="3" t="s">
        <v>379</v>
      </c>
      <c r="D57" s="111">
        <v>46081.0</v>
      </c>
      <c r="E57" s="3" t="s">
        <v>380</v>
      </c>
      <c r="F57" s="3" t="s">
        <v>381</v>
      </c>
      <c r="G57" s="3" t="s">
        <v>382</v>
      </c>
    </row>
    <row r="58">
      <c r="A58" s="110" t="s">
        <v>90</v>
      </c>
      <c r="B58" s="3" t="s">
        <v>29</v>
      </c>
      <c r="C58" s="3" t="s">
        <v>383</v>
      </c>
      <c r="D58" s="3" t="s">
        <v>384</v>
      </c>
      <c r="E58" s="3" t="s">
        <v>385</v>
      </c>
      <c r="F58" s="3" t="s">
        <v>386</v>
      </c>
      <c r="G58" s="3" t="s">
        <v>387</v>
      </c>
    </row>
    <row r="59">
      <c r="A59" s="110" t="s">
        <v>388</v>
      </c>
      <c r="B59" s="3" t="s">
        <v>29</v>
      </c>
      <c r="C59" s="3" t="s">
        <v>389</v>
      </c>
      <c r="D59" s="3" t="s">
        <v>390</v>
      </c>
      <c r="E59" s="3" t="s">
        <v>391</v>
      </c>
      <c r="F59" s="3" t="s">
        <v>392</v>
      </c>
      <c r="G59" s="3" t="s">
        <v>393</v>
      </c>
    </row>
    <row r="60">
      <c r="A60" s="110" t="s">
        <v>394</v>
      </c>
      <c r="B60" s="3" t="s">
        <v>29</v>
      </c>
      <c r="C60" s="3" t="s">
        <v>395</v>
      </c>
      <c r="D60" s="111">
        <v>46128.0</v>
      </c>
      <c r="E60" s="3" t="s">
        <v>396</v>
      </c>
      <c r="F60" s="3" t="s">
        <v>211</v>
      </c>
      <c r="G60" s="3" t="s">
        <v>397</v>
      </c>
    </row>
    <row r="61">
      <c r="A61" s="110" t="s">
        <v>112</v>
      </c>
      <c r="B61" s="3" t="s">
        <v>30</v>
      </c>
      <c r="C61" s="3" t="s">
        <v>341</v>
      </c>
      <c r="D61" s="111">
        <v>46155.0</v>
      </c>
      <c r="E61" s="111">
        <v>46173.0</v>
      </c>
      <c r="F61" s="3" t="s">
        <v>398</v>
      </c>
      <c r="G61" s="3" t="s">
        <v>399</v>
      </c>
    </row>
    <row r="62">
      <c r="A62" s="110" t="s">
        <v>87</v>
      </c>
      <c r="B62" s="3" t="s">
        <v>30</v>
      </c>
      <c r="C62" s="3" t="s">
        <v>400</v>
      </c>
      <c r="D62" s="3" t="s">
        <v>401</v>
      </c>
      <c r="E62" s="3" t="s">
        <v>402</v>
      </c>
      <c r="F62" s="3" t="s">
        <v>403</v>
      </c>
      <c r="G62" s="3" t="s">
        <v>285</v>
      </c>
    </row>
    <row r="63">
      <c r="A63" s="110" t="s">
        <v>404</v>
      </c>
      <c r="B63" s="3" t="s">
        <v>30</v>
      </c>
      <c r="C63" s="3" t="s">
        <v>405</v>
      </c>
      <c r="D63" s="111">
        <v>46153.0</v>
      </c>
      <c r="E63" s="3" t="s">
        <v>406</v>
      </c>
      <c r="F63" s="3" t="s">
        <v>187</v>
      </c>
      <c r="G63" s="111">
        <v>46048.0</v>
      </c>
    </row>
    <row r="64">
      <c r="A64" s="110" t="s">
        <v>407</v>
      </c>
      <c r="B64" s="3" t="s">
        <v>30</v>
      </c>
      <c r="C64" s="112">
        <v>229252.0</v>
      </c>
      <c r="D64" s="111">
        <v>46063.0</v>
      </c>
      <c r="E64" s="3" t="s">
        <v>408</v>
      </c>
      <c r="F64" s="3" t="s">
        <v>409</v>
      </c>
      <c r="G64" s="111">
        <v>46277.0</v>
      </c>
    </row>
    <row r="65">
      <c r="A65" s="110" t="s">
        <v>109</v>
      </c>
      <c r="B65" s="3" t="s">
        <v>30</v>
      </c>
      <c r="C65" s="3" t="s">
        <v>410</v>
      </c>
      <c r="D65" s="111">
        <v>46208.0</v>
      </c>
      <c r="E65" s="3" t="s">
        <v>259</v>
      </c>
      <c r="F65" s="111">
        <v>46195.0</v>
      </c>
      <c r="G65" s="3" t="s">
        <v>411</v>
      </c>
    </row>
    <row r="66">
      <c r="A66" s="110" t="s">
        <v>93</v>
      </c>
      <c r="B66" s="3" t="s">
        <v>30</v>
      </c>
      <c r="C66" s="112" t="s">
        <v>412</v>
      </c>
      <c r="D66" s="3" t="s">
        <v>413</v>
      </c>
      <c r="E66" s="3" t="s">
        <v>414</v>
      </c>
      <c r="F66" s="3" t="s">
        <v>415</v>
      </c>
      <c r="G66" s="3" t="s">
        <v>416</v>
      </c>
    </row>
    <row r="67">
      <c r="A67" s="110" t="s">
        <v>119</v>
      </c>
      <c r="B67" s="3" t="s">
        <v>31</v>
      </c>
      <c r="C67" s="111">
        <v>46183.0</v>
      </c>
      <c r="D67" s="111">
        <v>46236.0</v>
      </c>
      <c r="E67" s="111">
        <v>46025.0</v>
      </c>
      <c r="F67" s="3" t="s">
        <v>417</v>
      </c>
      <c r="G67" s="111">
        <v>46035.0</v>
      </c>
    </row>
    <row r="68">
      <c r="A68" s="110" t="s">
        <v>126</v>
      </c>
      <c r="B68" s="3" t="s">
        <v>31</v>
      </c>
      <c r="C68" s="3" t="s">
        <v>418</v>
      </c>
      <c r="D68" s="111">
        <v>46058.0</v>
      </c>
      <c r="E68" s="111">
        <v>46094.0</v>
      </c>
      <c r="F68" s="111">
        <v>46029.0</v>
      </c>
      <c r="G68" s="3" t="s">
        <v>203</v>
      </c>
    </row>
    <row r="69">
      <c r="A69" s="110" t="s">
        <v>419</v>
      </c>
      <c r="B69" s="3" t="s">
        <v>31</v>
      </c>
      <c r="C69" s="3" t="s">
        <v>420</v>
      </c>
      <c r="D69" s="111">
        <v>46157.0</v>
      </c>
      <c r="E69" s="3" t="s">
        <v>421</v>
      </c>
      <c r="F69" s="3" t="s">
        <v>422</v>
      </c>
      <c r="G69" s="3" t="s">
        <v>296</v>
      </c>
    </row>
    <row r="70">
      <c r="A70" s="110" t="s">
        <v>125</v>
      </c>
      <c r="B70" s="3" t="s">
        <v>31</v>
      </c>
      <c r="C70" s="3" t="s">
        <v>423</v>
      </c>
      <c r="D70" s="111">
        <v>46097.0</v>
      </c>
      <c r="E70" s="3" t="s">
        <v>424</v>
      </c>
      <c r="F70" s="111">
        <v>46066.0</v>
      </c>
      <c r="G70" s="111">
        <v>46206.0</v>
      </c>
    </row>
    <row r="71">
      <c r="A71" s="110" t="s">
        <v>94</v>
      </c>
      <c r="B71" s="3" t="s">
        <v>31</v>
      </c>
      <c r="C71" s="112">
        <v>86320.0</v>
      </c>
      <c r="D71" s="3" t="s">
        <v>425</v>
      </c>
      <c r="E71" s="112" t="s">
        <v>426</v>
      </c>
      <c r="F71" s="3" t="s">
        <v>427</v>
      </c>
      <c r="G71" s="111">
        <v>46157.0</v>
      </c>
    </row>
    <row r="72">
      <c r="A72" s="110" t="s">
        <v>88</v>
      </c>
      <c r="B72" s="3" t="s">
        <v>31</v>
      </c>
      <c r="C72" s="112" t="s">
        <v>428</v>
      </c>
      <c r="D72" s="3" t="s">
        <v>170</v>
      </c>
      <c r="E72" s="3" t="s">
        <v>429</v>
      </c>
      <c r="F72" s="3" t="s">
        <v>430</v>
      </c>
      <c r="G72" s="3" t="s">
        <v>431</v>
      </c>
    </row>
    <row r="73">
      <c r="A73" s="110" t="s">
        <v>432</v>
      </c>
      <c r="B73" s="3" t="s">
        <v>31</v>
      </c>
      <c r="C73" s="112" t="s">
        <v>433</v>
      </c>
      <c r="D73" s="3" t="s">
        <v>434</v>
      </c>
      <c r="E73" s="3" t="s">
        <v>435</v>
      </c>
      <c r="F73" s="3" t="s">
        <v>436</v>
      </c>
      <c r="G73" s="111">
        <v>46062.0</v>
      </c>
    </row>
    <row r="74">
      <c r="A74" s="110" t="s">
        <v>132</v>
      </c>
      <c r="B74" s="3" t="s">
        <v>31</v>
      </c>
      <c r="C74" s="3" t="s">
        <v>437</v>
      </c>
      <c r="D74" s="3" t="s">
        <v>438</v>
      </c>
      <c r="E74" s="3" t="s">
        <v>439</v>
      </c>
      <c r="F74" s="3" t="s">
        <v>440</v>
      </c>
      <c r="G74" s="111">
        <v>46066.0</v>
      </c>
    </row>
    <row r="75">
      <c r="A75" s="110" t="s">
        <v>101</v>
      </c>
      <c r="B75" s="3" t="s">
        <v>31</v>
      </c>
      <c r="C75" s="3" t="s">
        <v>441</v>
      </c>
      <c r="D75" s="3" t="s">
        <v>442</v>
      </c>
      <c r="E75" s="3" t="s">
        <v>443</v>
      </c>
      <c r="F75" s="3" t="s">
        <v>300</v>
      </c>
      <c r="G75" s="3" t="s">
        <v>444</v>
      </c>
    </row>
    <row r="76">
      <c r="A76" s="110" t="s">
        <v>95</v>
      </c>
      <c r="B76" s="3" t="s">
        <v>31</v>
      </c>
      <c r="C76" s="3" t="s">
        <v>445</v>
      </c>
      <c r="D76" s="111">
        <v>46059.0</v>
      </c>
      <c r="E76" s="3" t="s">
        <v>446</v>
      </c>
      <c r="F76" s="3" t="s">
        <v>447</v>
      </c>
      <c r="G76" s="3" t="s">
        <v>448</v>
      </c>
    </row>
    <row r="77">
      <c r="A77" s="110" t="s">
        <v>449</v>
      </c>
      <c r="B77" s="3" t="s">
        <v>32</v>
      </c>
      <c r="C77" s="3" t="s">
        <v>450</v>
      </c>
      <c r="D77" s="3" t="s">
        <v>451</v>
      </c>
      <c r="E77" s="3" t="s">
        <v>452</v>
      </c>
      <c r="F77" s="111">
        <v>46201.0</v>
      </c>
      <c r="G77" s="111">
        <v>46237.0</v>
      </c>
    </row>
    <row r="78">
      <c r="A78" s="110" t="s">
        <v>453</v>
      </c>
      <c r="B78" s="3" t="s">
        <v>32</v>
      </c>
      <c r="C78" s="3" t="s">
        <v>454</v>
      </c>
      <c r="D78" s="3" t="s">
        <v>455</v>
      </c>
      <c r="E78" s="3" t="s">
        <v>456</v>
      </c>
      <c r="F78" s="3" t="s">
        <v>457</v>
      </c>
      <c r="G78" s="3" t="s">
        <v>458</v>
      </c>
    </row>
    <row r="79">
      <c r="A79" s="110" t="s">
        <v>459</v>
      </c>
      <c r="B79" s="3" t="s">
        <v>32</v>
      </c>
      <c r="C79" s="3" t="s">
        <v>460</v>
      </c>
      <c r="D79" s="3" t="s">
        <v>461</v>
      </c>
      <c r="E79" s="3" t="s">
        <v>462</v>
      </c>
      <c r="F79" s="3" t="s">
        <v>463</v>
      </c>
      <c r="G79" s="3" t="s">
        <v>442</v>
      </c>
    </row>
    <row r="80">
      <c r="A80" s="110" t="s">
        <v>108</v>
      </c>
      <c r="B80" s="3" t="s">
        <v>32</v>
      </c>
      <c r="C80" s="3" t="s">
        <v>464</v>
      </c>
      <c r="D80" s="111">
        <v>46248.0</v>
      </c>
      <c r="E80" s="3" t="s">
        <v>465</v>
      </c>
      <c r="F80" s="111">
        <v>46173.0</v>
      </c>
      <c r="G80" s="111">
        <v>46198.0</v>
      </c>
    </row>
    <row r="81">
      <c r="A81" s="110" t="s">
        <v>102</v>
      </c>
      <c r="B81" s="3" t="s">
        <v>32</v>
      </c>
      <c r="C81" s="3" t="s">
        <v>466</v>
      </c>
      <c r="D81" s="3" t="s">
        <v>467</v>
      </c>
      <c r="E81" s="3" t="s">
        <v>468</v>
      </c>
      <c r="F81" s="3" t="s">
        <v>469</v>
      </c>
      <c r="G81" s="3" t="s">
        <v>470</v>
      </c>
    </row>
    <row r="82">
      <c r="A82" s="110" t="s">
        <v>98</v>
      </c>
      <c r="B82" s="3" t="s">
        <v>32</v>
      </c>
      <c r="C82" s="3" t="s">
        <v>471</v>
      </c>
      <c r="D82" s="3" t="s">
        <v>472</v>
      </c>
      <c r="E82" s="3" t="s">
        <v>473</v>
      </c>
      <c r="F82" s="3" t="s">
        <v>474</v>
      </c>
      <c r="G82" s="3" t="s">
        <v>475</v>
      </c>
    </row>
    <row r="83">
      <c r="A83" s="110" t="s">
        <v>476</v>
      </c>
      <c r="B83" s="3" t="s">
        <v>32</v>
      </c>
      <c r="C83" s="3" t="s">
        <v>477</v>
      </c>
      <c r="D83" s="111">
        <v>46268.0</v>
      </c>
      <c r="E83" s="3" t="s">
        <v>478</v>
      </c>
      <c r="F83" s="3" t="s">
        <v>479</v>
      </c>
      <c r="G83" s="3" t="s">
        <v>425</v>
      </c>
    </row>
    <row r="84">
      <c r="A84" s="110" t="s">
        <v>111</v>
      </c>
      <c r="B84" s="3" t="s">
        <v>32</v>
      </c>
      <c r="C84" s="3" t="s">
        <v>480</v>
      </c>
      <c r="D84" s="111">
        <v>46054.0</v>
      </c>
      <c r="E84" s="3" t="s">
        <v>481</v>
      </c>
      <c r="F84" s="111">
        <v>46126.0</v>
      </c>
      <c r="G84" s="3" t="s">
        <v>482</v>
      </c>
    </row>
    <row r="85">
      <c r="A85" s="110" t="s">
        <v>483</v>
      </c>
      <c r="B85" s="3" t="s">
        <v>32</v>
      </c>
      <c r="C85" s="3" t="s">
        <v>484</v>
      </c>
      <c r="D85" s="3" t="s">
        <v>485</v>
      </c>
      <c r="E85" s="3" t="s">
        <v>486</v>
      </c>
      <c r="F85" s="111">
        <v>46071.0</v>
      </c>
      <c r="G85" s="111">
        <v>46156.0</v>
      </c>
    </row>
    <row r="86">
      <c r="A86" s="110" t="s">
        <v>129</v>
      </c>
      <c r="B86" s="3" t="s">
        <v>32</v>
      </c>
      <c r="C86" s="111">
        <v>46225.0</v>
      </c>
      <c r="D86" s="111">
        <v>46267.0</v>
      </c>
      <c r="E86" s="111">
        <v>46125.0</v>
      </c>
      <c r="F86" s="111">
        <v>46214.0</v>
      </c>
      <c r="G86" s="3" t="s">
        <v>487</v>
      </c>
    </row>
    <row r="87">
      <c r="A87" s="110" t="s">
        <v>123</v>
      </c>
      <c r="B87" s="3" t="s">
        <v>32</v>
      </c>
      <c r="C87" s="3" t="s">
        <v>488</v>
      </c>
      <c r="D87" s="3" t="s">
        <v>417</v>
      </c>
      <c r="E87" s="3" t="s">
        <v>489</v>
      </c>
      <c r="F87" s="111">
        <v>46267.0</v>
      </c>
      <c r="G87" s="111">
        <v>46267.0</v>
      </c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6" max="6" width="13.88"/>
  </cols>
  <sheetData>
    <row r="1">
      <c r="A1" s="108" t="s">
        <v>490</v>
      </c>
      <c r="B1" s="39"/>
      <c r="C1" s="39"/>
      <c r="D1" s="39"/>
      <c r="E1" s="39"/>
      <c r="F1" s="39"/>
      <c r="G1" s="2"/>
      <c r="H1" s="113"/>
      <c r="I1" s="113"/>
      <c r="J1" s="113"/>
    </row>
    <row r="2">
      <c r="A2" s="59" t="s">
        <v>73</v>
      </c>
      <c r="B2" s="59" t="s">
        <v>74</v>
      </c>
      <c r="C2" s="59" t="s">
        <v>491</v>
      </c>
      <c r="D2" s="59" t="s">
        <v>492</v>
      </c>
      <c r="E2" s="59" t="s">
        <v>493</v>
      </c>
      <c r="F2" s="59" t="s">
        <v>75</v>
      </c>
      <c r="G2" s="59" t="s">
        <v>76</v>
      </c>
      <c r="H2" s="114" t="s">
        <v>494</v>
      </c>
      <c r="I2" s="115" t="s">
        <v>78</v>
      </c>
      <c r="J2" s="116" t="s">
        <v>495</v>
      </c>
      <c r="K2" s="117"/>
    </row>
    <row r="3">
      <c r="A3" s="110" t="s">
        <v>162</v>
      </c>
      <c r="B3" s="3" t="s">
        <v>25</v>
      </c>
      <c r="C3" s="3">
        <v>261.8</v>
      </c>
      <c r="D3" s="3">
        <v>16.5</v>
      </c>
      <c r="E3" s="3">
        <v>125.6</v>
      </c>
      <c r="F3" s="3">
        <v>50.9</v>
      </c>
      <c r="G3" s="3">
        <v>40.6</v>
      </c>
      <c r="H3" s="118"/>
      <c r="I3" s="119">
        <v>1524.0</v>
      </c>
      <c r="J3" s="120">
        <f t="shared" ref="J3:J87" si="1">ROUND(F3/I3*1000, 1)</f>
        <v>33.4</v>
      </c>
      <c r="K3" s="121"/>
    </row>
    <row r="4">
      <c r="A4" s="110" t="s">
        <v>167</v>
      </c>
      <c r="B4" s="3" t="s">
        <v>25</v>
      </c>
      <c r="C4" s="3">
        <v>106.5</v>
      </c>
      <c r="D4" s="3">
        <v>13.0</v>
      </c>
      <c r="E4" s="3">
        <v>62.8</v>
      </c>
      <c r="F4" s="3">
        <v>53.4</v>
      </c>
      <c r="G4" s="3">
        <v>85.1</v>
      </c>
      <c r="H4" s="118"/>
      <c r="I4" s="122">
        <v>1156.0</v>
      </c>
      <c r="J4" s="120">
        <f t="shared" si="1"/>
        <v>46.2</v>
      </c>
      <c r="K4" s="121"/>
    </row>
    <row r="5">
      <c r="A5" s="110" t="s">
        <v>149</v>
      </c>
      <c r="B5" s="3" t="s">
        <v>25</v>
      </c>
      <c r="C5" s="3">
        <v>153.6</v>
      </c>
      <c r="D5" s="3">
        <v>15.0</v>
      </c>
      <c r="E5" s="3">
        <v>96.0</v>
      </c>
      <c r="F5" s="3">
        <v>89.8</v>
      </c>
      <c r="G5" s="3">
        <v>93.6</v>
      </c>
      <c r="H5" s="118"/>
      <c r="I5" s="122">
        <v>1318.0</v>
      </c>
      <c r="J5" s="120">
        <f t="shared" si="1"/>
        <v>68.1</v>
      </c>
      <c r="K5" s="121"/>
    </row>
    <row r="6">
      <c r="A6" s="110" t="s">
        <v>178</v>
      </c>
      <c r="B6" s="3" t="s">
        <v>25</v>
      </c>
      <c r="C6" s="3">
        <v>459.4</v>
      </c>
      <c r="D6" s="3">
        <v>17.3</v>
      </c>
      <c r="E6" s="3">
        <v>216.3</v>
      </c>
      <c r="F6" s="3">
        <v>128.0</v>
      </c>
      <c r="G6" s="3">
        <v>59.2</v>
      </c>
      <c r="H6" s="118"/>
      <c r="I6" s="122">
        <v>2287.0</v>
      </c>
      <c r="J6" s="120">
        <f t="shared" si="1"/>
        <v>56</v>
      </c>
      <c r="K6" s="121"/>
    </row>
    <row r="7">
      <c r="A7" s="110" t="s">
        <v>128</v>
      </c>
      <c r="B7" s="3" t="s">
        <v>25</v>
      </c>
      <c r="C7" s="3">
        <v>101.0</v>
      </c>
      <c r="D7" s="3">
        <v>15.2</v>
      </c>
      <c r="E7" s="3">
        <v>79.2</v>
      </c>
      <c r="F7" s="3">
        <v>16.2</v>
      </c>
      <c r="G7" s="3">
        <v>20.5</v>
      </c>
      <c r="H7" s="118"/>
      <c r="I7" s="122">
        <v>946.0</v>
      </c>
      <c r="J7" s="120">
        <f t="shared" si="1"/>
        <v>17.1</v>
      </c>
      <c r="K7" s="121"/>
    </row>
    <row r="8">
      <c r="A8" s="110" t="s">
        <v>185</v>
      </c>
      <c r="B8" s="3" t="s">
        <v>25</v>
      </c>
      <c r="C8" s="3">
        <v>137.2</v>
      </c>
      <c r="D8" s="3">
        <v>23.8</v>
      </c>
      <c r="E8" s="3">
        <v>85.8</v>
      </c>
      <c r="F8" s="3">
        <v>73.6</v>
      </c>
      <c r="G8" s="3">
        <v>85.7</v>
      </c>
      <c r="H8" s="118"/>
      <c r="I8" s="122">
        <v>1000.0</v>
      </c>
      <c r="J8" s="120">
        <f t="shared" si="1"/>
        <v>73.6</v>
      </c>
      <c r="K8" s="121"/>
    </row>
    <row r="9">
      <c r="A9" s="110" t="s">
        <v>190</v>
      </c>
      <c r="B9" s="3" t="s">
        <v>25</v>
      </c>
      <c r="C9" s="3">
        <v>1580.8</v>
      </c>
      <c r="D9" s="3">
        <v>8.9</v>
      </c>
      <c r="E9" s="3">
        <v>1577.4</v>
      </c>
      <c r="F9" s="3">
        <v>32.8</v>
      </c>
      <c r="G9" s="3">
        <v>2.1</v>
      </c>
      <c r="H9" s="118"/>
      <c r="I9" s="122">
        <v>602.0</v>
      </c>
      <c r="J9" s="120">
        <f t="shared" si="1"/>
        <v>54.5</v>
      </c>
      <c r="K9" s="121"/>
    </row>
    <row r="10">
      <c r="A10" s="110" t="s">
        <v>194</v>
      </c>
      <c r="B10" s="3" t="s">
        <v>25</v>
      </c>
      <c r="C10" s="3">
        <v>215.1</v>
      </c>
      <c r="D10" s="3">
        <v>7.5</v>
      </c>
      <c r="E10" s="3">
        <v>83.6</v>
      </c>
      <c r="F10" s="3">
        <v>33.7</v>
      </c>
      <c r="G10" s="3">
        <v>40.4</v>
      </c>
      <c r="H10" s="118"/>
      <c r="I10" s="122">
        <v>1068.0</v>
      </c>
      <c r="J10" s="120">
        <f t="shared" si="1"/>
        <v>31.6</v>
      </c>
      <c r="K10" s="121"/>
    </row>
    <row r="11">
      <c r="A11" s="110" t="s">
        <v>199</v>
      </c>
      <c r="B11" s="3" t="s">
        <v>25</v>
      </c>
      <c r="C11" s="3">
        <v>217.1</v>
      </c>
      <c r="D11" s="3">
        <v>33.4</v>
      </c>
      <c r="E11" s="3">
        <v>72.7</v>
      </c>
      <c r="F11" s="3">
        <v>53.3</v>
      </c>
      <c r="G11" s="3">
        <v>73.4</v>
      </c>
      <c r="H11" s="118"/>
      <c r="I11" s="122">
        <v>1117.0</v>
      </c>
      <c r="J11" s="120">
        <f t="shared" si="1"/>
        <v>47.7</v>
      </c>
      <c r="K11" s="121"/>
    </row>
    <row r="12">
      <c r="A12" s="110" t="s">
        <v>96</v>
      </c>
      <c r="B12" s="3" t="s">
        <v>25</v>
      </c>
      <c r="C12" s="3">
        <v>2793.4</v>
      </c>
      <c r="D12" s="3">
        <v>350.0</v>
      </c>
      <c r="E12" s="3">
        <v>1207.0</v>
      </c>
      <c r="F12" s="3">
        <v>272.2</v>
      </c>
      <c r="G12" s="3">
        <v>22.6</v>
      </c>
      <c r="H12" s="118"/>
      <c r="I12" s="122">
        <v>8524.0</v>
      </c>
      <c r="J12" s="120">
        <f t="shared" si="1"/>
        <v>31.9</v>
      </c>
      <c r="K12" s="121"/>
    </row>
    <row r="13">
      <c r="A13" s="110" t="s">
        <v>155</v>
      </c>
      <c r="B13" s="3" t="s">
        <v>25</v>
      </c>
      <c r="C13" s="3">
        <v>77.4</v>
      </c>
      <c r="D13" s="3">
        <v>8.5</v>
      </c>
      <c r="E13" s="3">
        <v>49.3</v>
      </c>
      <c r="F13" s="3">
        <v>44.0</v>
      </c>
      <c r="G13" s="3">
        <v>89.1</v>
      </c>
      <c r="H13" s="118"/>
      <c r="I13" s="122">
        <v>706.0</v>
      </c>
      <c r="J13" s="120">
        <f t="shared" si="1"/>
        <v>62.3</v>
      </c>
      <c r="K13" s="121"/>
    </row>
    <row r="14">
      <c r="A14" s="110" t="s">
        <v>131</v>
      </c>
      <c r="B14" s="3" t="s">
        <v>25</v>
      </c>
      <c r="C14" s="3">
        <v>164.8</v>
      </c>
      <c r="D14" s="3">
        <v>5.5</v>
      </c>
      <c r="E14" s="3">
        <v>118.3</v>
      </c>
      <c r="F14" s="3">
        <v>25.7</v>
      </c>
      <c r="G14" s="3">
        <v>21.7</v>
      </c>
      <c r="H14" s="118"/>
      <c r="I14" s="122">
        <v>1072.0</v>
      </c>
      <c r="J14" s="120">
        <f t="shared" si="1"/>
        <v>24</v>
      </c>
      <c r="K14" s="121"/>
    </row>
    <row r="15">
      <c r="A15" s="110" t="s">
        <v>214</v>
      </c>
      <c r="B15" s="3" t="s">
        <v>25</v>
      </c>
      <c r="C15" s="3">
        <v>152.7</v>
      </c>
      <c r="D15" s="3">
        <v>12.3</v>
      </c>
      <c r="E15" s="3">
        <v>66.0</v>
      </c>
      <c r="F15" s="3">
        <v>48.4</v>
      </c>
      <c r="G15" s="3">
        <v>73.2</v>
      </c>
      <c r="H15" s="118"/>
      <c r="I15" s="122">
        <v>893.0</v>
      </c>
      <c r="J15" s="120">
        <f t="shared" si="1"/>
        <v>54.2</v>
      </c>
      <c r="K15" s="121"/>
    </row>
    <row r="16">
      <c r="A16" s="110" t="s">
        <v>219</v>
      </c>
      <c r="B16" s="3" t="s">
        <v>25</v>
      </c>
      <c r="C16" s="3">
        <v>122.5</v>
      </c>
      <c r="D16" s="3">
        <v>8.3</v>
      </c>
      <c r="E16" s="3">
        <v>54.9</v>
      </c>
      <c r="F16" s="3">
        <v>44.3</v>
      </c>
      <c r="G16" s="3">
        <v>80.6</v>
      </c>
      <c r="H16" s="118"/>
      <c r="I16" s="122">
        <v>956.0</v>
      </c>
      <c r="J16" s="120">
        <f t="shared" si="1"/>
        <v>46.3</v>
      </c>
      <c r="K16" s="121"/>
    </row>
    <row r="17">
      <c r="A17" s="110" t="s">
        <v>224</v>
      </c>
      <c r="B17" s="3" t="s">
        <v>25</v>
      </c>
      <c r="C17" s="3">
        <v>1290.2</v>
      </c>
      <c r="D17" s="3">
        <v>26.9</v>
      </c>
      <c r="E17" s="3">
        <v>1177.9</v>
      </c>
      <c r="F17" s="3">
        <v>77.2</v>
      </c>
      <c r="G17" s="3">
        <v>6.6</v>
      </c>
      <c r="H17" s="118"/>
      <c r="I17" s="122">
        <v>1208.0</v>
      </c>
      <c r="J17" s="120">
        <f t="shared" si="1"/>
        <v>63.9</v>
      </c>
      <c r="K17" s="121"/>
    </row>
    <row r="18">
      <c r="A18" s="110" t="s">
        <v>228</v>
      </c>
      <c r="B18" s="3" t="s">
        <v>25</v>
      </c>
      <c r="C18" s="3">
        <v>290.4</v>
      </c>
      <c r="D18" s="3">
        <v>65.1</v>
      </c>
      <c r="E18" s="3">
        <v>157.4</v>
      </c>
      <c r="F18" s="3">
        <v>123.1</v>
      </c>
      <c r="G18" s="3">
        <v>78.2</v>
      </c>
      <c r="H18" s="118"/>
      <c r="I18" s="122">
        <v>1420.0</v>
      </c>
      <c r="J18" s="120">
        <f t="shared" si="1"/>
        <v>86.7</v>
      </c>
      <c r="K18" s="121"/>
    </row>
    <row r="19">
      <c r="A19" s="110" t="s">
        <v>100</v>
      </c>
      <c r="B19" s="3" t="s">
        <v>25</v>
      </c>
      <c r="C19" s="3">
        <v>196.6</v>
      </c>
      <c r="D19" s="3">
        <v>18.4</v>
      </c>
      <c r="E19" s="3">
        <v>159.7</v>
      </c>
      <c r="F19" s="3">
        <v>145.8</v>
      </c>
      <c r="G19" s="3">
        <v>91.3</v>
      </c>
      <c r="H19" s="118"/>
      <c r="I19" s="122">
        <v>1221.0</v>
      </c>
      <c r="J19" s="120">
        <f t="shared" si="1"/>
        <v>119.4</v>
      </c>
      <c r="K19" s="121"/>
    </row>
    <row r="20">
      <c r="A20" s="110" t="s">
        <v>104</v>
      </c>
      <c r="B20" s="3" t="s">
        <v>25</v>
      </c>
      <c r="C20" s="3">
        <v>703.6</v>
      </c>
      <c r="D20" s="3">
        <v>1.5</v>
      </c>
      <c r="E20" s="3">
        <v>1066.9</v>
      </c>
      <c r="F20" s="3">
        <v>198.5</v>
      </c>
      <c r="G20" s="3">
        <v>18.6</v>
      </c>
      <c r="H20" s="118"/>
      <c r="I20" s="122">
        <v>13104.0</v>
      </c>
      <c r="J20" s="120">
        <f t="shared" si="1"/>
        <v>15.1</v>
      </c>
      <c r="K20" s="123"/>
    </row>
    <row r="21">
      <c r="A21" s="110" t="s">
        <v>89</v>
      </c>
      <c r="B21" s="3" t="s">
        <v>26</v>
      </c>
      <c r="C21" s="3">
        <v>191.7</v>
      </c>
      <c r="D21" s="3">
        <v>6.6</v>
      </c>
      <c r="E21" s="3">
        <v>252.3</v>
      </c>
      <c r="F21" s="3">
        <v>117.1</v>
      </c>
      <c r="G21" s="3">
        <v>46.4</v>
      </c>
      <c r="H21" s="118"/>
      <c r="I21" s="122">
        <v>587.0</v>
      </c>
      <c r="J21" s="120">
        <f t="shared" si="1"/>
        <v>199.5</v>
      </c>
      <c r="K21" s="121"/>
    </row>
    <row r="22">
      <c r="A22" s="110" t="s">
        <v>245</v>
      </c>
      <c r="B22" s="3" t="s">
        <v>26</v>
      </c>
      <c r="C22" s="3">
        <v>469.8</v>
      </c>
      <c r="D22" s="3">
        <v>10.3</v>
      </c>
      <c r="E22" s="3">
        <v>423.5</v>
      </c>
      <c r="F22" s="3">
        <v>61.1</v>
      </c>
      <c r="G22" s="3">
        <v>14.4</v>
      </c>
      <c r="H22" s="118"/>
      <c r="I22" s="122">
        <v>781.0</v>
      </c>
      <c r="J22" s="120">
        <f t="shared" si="1"/>
        <v>78.2</v>
      </c>
      <c r="K22" s="121"/>
    </row>
    <row r="23">
      <c r="A23" s="110" t="s">
        <v>118</v>
      </c>
      <c r="B23" s="3" t="s">
        <v>26</v>
      </c>
      <c r="C23" s="3">
        <v>20.4</v>
      </c>
      <c r="D23" s="3">
        <v>0.3</v>
      </c>
      <c r="E23" s="3">
        <v>1.7</v>
      </c>
      <c r="F23" s="3">
        <v>0.0</v>
      </c>
      <c r="G23" s="3">
        <v>0.0</v>
      </c>
      <c r="H23" s="118"/>
      <c r="I23" s="122">
        <v>45.0</v>
      </c>
      <c r="J23" s="120">
        <f t="shared" si="1"/>
        <v>0</v>
      </c>
      <c r="K23" s="121"/>
    </row>
    <row r="24">
      <c r="A24" s="110" t="s">
        <v>86</v>
      </c>
      <c r="B24" s="3" t="s">
        <v>26</v>
      </c>
      <c r="C24" s="3">
        <v>490.8</v>
      </c>
      <c r="D24" s="3">
        <v>18.4</v>
      </c>
      <c r="E24" s="3">
        <v>593.8</v>
      </c>
      <c r="F24" s="3">
        <v>254.5</v>
      </c>
      <c r="G24" s="3">
        <v>42.9</v>
      </c>
      <c r="H24" s="118"/>
      <c r="I24" s="122">
        <v>1052.0</v>
      </c>
      <c r="J24" s="120">
        <f t="shared" si="1"/>
        <v>241.9</v>
      </c>
      <c r="K24" s="121"/>
    </row>
    <row r="25">
      <c r="A25" s="110" t="s">
        <v>255</v>
      </c>
      <c r="B25" s="3" t="s">
        <v>26</v>
      </c>
      <c r="C25" s="3">
        <v>230.1</v>
      </c>
      <c r="D25" s="3">
        <v>10.8</v>
      </c>
      <c r="E25" s="3">
        <v>195.8</v>
      </c>
      <c r="F25" s="3">
        <v>61.9</v>
      </c>
      <c r="G25" s="3">
        <v>31.6</v>
      </c>
      <c r="H25" s="118"/>
      <c r="I25" s="122">
        <v>1120.0</v>
      </c>
      <c r="J25" s="120">
        <f t="shared" si="1"/>
        <v>55.3</v>
      </c>
      <c r="K25" s="121"/>
    </row>
    <row r="26">
      <c r="A26" s="110" t="s">
        <v>260</v>
      </c>
      <c r="B26" s="3" t="s">
        <v>26</v>
      </c>
      <c r="C26" s="3">
        <v>122.0</v>
      </c>
      <c r="D26" s="3">
        <v>5.9</v>
      </c>
      <c r="E26" s="3">
        <v>117.0</v>
      </c>
      <c r="F26" s="3">
        <v>85.9</v>
      </c>
      <c r="G26" s="3">
        <v>73.4</v>
      </c>
      <c r="H26" s="118"/>
      <c r="I26" s="122">
        <v>1027.0</v>
      </c>
      <c r="J26" s="120">
        <f t="shared" si="1"/>
        <v>83.6</v>
      </c>
      <c r="K26" s="121"/>
    </row>
    <row r="27">
      <c r="A27" s="110" t="s">
        <v>97</v>
      </c>
      <c r="B27" s="3" t="s">
        <v>26</v>
      </c>
      <c r="C27" s="3">
        <v>3763.4</v>
      </c>
      <c r="D27" s="3">
        <v>40.0</v>
      </c>
      <c r="E27" s="3">
        <v>3683.5</v>
      </c>
      <c r="F27" s="3">
        <v>269.8</v>
      </c>
      <c r="G27" s="3">
        <v>7.3</v>
      </c>
      <c r="H27" s="118"/>
      <c r="I27" s="122">
        <v>2076.0</v>
      </c>
      <c r="J27" s="120">
        <f t="shared" si="1"/>
        <v>130</v>
      </c>
      <c r="K27" s="121"/>
    </row>
    <row r="28">
      <c r="A28" s="110" t="s">
        <v>91</v>
      </c>
      <c r="B28" s="3" t="s">
        <v>26</v>
      </c>
      <c r="C28" s="3">
        <v>1617.3</v>
      </c>
      <c r="D28" s="3">
        <v>10.6</v>
      </c>
      <c r="E28" s="3">
        <v>1688.4</v>
      </c>
      <c r="F28" s="3">
        <v>128.0</v>
      </c>
      <c r="G28" s="3">
        <v>7.6</v>
      </c>
      <c r="H28" s="118"/>
      <c r="I28" s="122">
        <v>674.0</v>
      </c>
      <c r="J28" s="120">
        <f t="shared" si="1"/>
        <v>189.9</v>
      </c>
      <c r="K28" s="121"/>
    </row>
    <row r="29">
      <c r="A29" s="110" t="s">
        <v>133</v>
      </c>
      <c r="B29" s="3" t="s">
        <v>26</v>
      </c>
      <c r="C29" s="3">
        <v>105.8</v>
      </c>
      <c r="D29" s="3">
        <v>13.6</v>
      </c>
      <c r="E29" s="3">
        <v>74.3</v>
      </c>
      <c r="F29" s="3">
        <v>17.6</v>
      </c>
      <c r="G29" s="3">
        <v>23.7</v>
      </c>
      <c r="H29" s="118"/>
      <c r="I29" s="122">
        <v>580.0</v>
      </c>
      <c r="J29" s="120">
        <f t="shared" si="1"/>
        <v>30.3</v>
      </c>
      <c r="K29" s="121"/>
    </row>
    <row r="30">
      <c r="A30" s="110" t="s">
        <v>270</v>
      </c>
      <c r="B30" s="3" t="s">
        <v>26</v>
      </c>
      <c r="C30" s="3">
        <v>117.1</v>
      </c>
      <c r="D30" s="3">
        <v>4.5</v>
      </c>
      <c r="E30" s="3">
        <v>107.0</v>
      </c>
      <c r="F30" s="3">
        <v>34.3</v>
      </c>
      <c r="G30" s="3">
        <v>32.0</v>
      </c>
      <c r="H30" s="118"/>
      <c r="I30" s="122">
        <v>592.0</v>
      </c>
      <c r="J30" s="120">
        <f t="shared" si="1"/>
        <v>57.9</v>
      </c>
      <c r="K30" s="121"/>
    </row>
    <row r="31">
      <c r="A31" s="110" t="s">
        <v>85</v>
      </c>
      <c r="B31" s="3" t="s">
        <v>26</v>
      </c>
      <c r="C31" s="3">
        <v>935.0</v>
      </c>
      <c r="D31" s="3">
        <v>58.5</v>
      </c>
      <c r="E31" s="3">
        <v>1108.3</v>
      </c>
      <c r="F31" s="3">
        <v>937.5</v>
      </c>
      <c r="G31" s="3">
        <v>84.6</v>
      </c>
      <c r="H31" s="118"/>
      <c r="I31" s="122">
        <v>5600.0</v>
      </c>
      <c r="J31" s="120">
        <f t="shared" si="1"/>
        <v>167.4</v>
      </c>
      <c r="K31" s="123"/>
    </row>
    <row r="32">
      <c r="A32" s="110" t="s">
        <v>121</v>
      </c>
      <c r="B32" s="3" t="s">
        <v>27</v>
      </c>
      <c r="C32" s="3">
        <v>168.8</v>
      </c>
      <c r="D32" s="3">
        <v>14.3</v>
      </c>
      <c r="E32" s="3">
        <v>126.0</v>
      </c>
      <c r="F32" s="3">
        <v>1.3</v>
      </c>
      <c r="G32" s="3">
        <v>1.0</v>
      </c>
      <c r="H32" s="118"/>
      <c r="I32" s="122">
        <v>497.0</v>
      </c>
      <c r="J32" s="120">
        <f t="shared" si="1"/>
        <v>2.6</v>
      </c>
      <c r="K32" s="121"/>
    </row>
    <row r="33">
      <c r="A33" s="110" t="s">
        <v>127</v>
      </c>
      <c r="B33" s="3" t="s">
        <v>27</v>
      </c>
      <c r="C33" s="3">
        <v>319.8</v>
      </c>
      <c r="D33" s="3">
        <v>126.2</v>
      </c>
      <c r="E33" s="3">
        <v>12.2</v>
      </c>
      <c r="F33" s="3">
        <v>9.14</v>
      </c>
      <c r="G33" s="3">
        <v>75.0</v>
      </c>
      <c r="H33" s="118"/>
      <c r="I33" s="122">
        <v>267.0</v>
      </c>
      <c r="J33" s="120">
        <f t="shared" si="1"/>
        <v>34.2</v>
      </c>
      <c r="K33" s="121"/>
    </row>
    <row r="34">
      <c r="A34" s="110" t="s">
        <v>154</v>
      </c>
      <c r="B34" s="3" t="s">
        <v>27</v>
      </c>
      <c r="C34" s="3">
        <v>301.8</v>
      </c>
      <c r="D34" s="3">
        <v>97.0</v>
      </c>
      <c r="E34" s="3">
        <v>104.2</v>
      </c>
      <c r="F34" s="3">
        <v>95.1</v>
      </c>
      <c r="G34" s="3">
        <v>91.3</v>
      </c>
      <c r="H34" s="118"/>
      <c r="I34" s="122">
        <v>1900.0</v>
      </c>
      <c r="J34" s="120">
        <f t="shared" si="1"/>
        <v>50.1</v>
      </c>
      <c r="K34" s="121"/>
    </row>
    <row r="35">
      <c r="A35" s="110" t="s">
        <v>134</v>
      </c>
      <c r="B35" s="3" t="s">
        <v>27</v>
      </c>
      <c r="C35" s="3">
        <v>4038.6</v>
      </c>
      <c r="D35" s="3">
        <v>945.0</v>
      </c>
      <c r="E35" s="3">
        <v>3395.7</v>
      </c>
      <c r="F35" s="3">
        <v>158.5</v>
      </c>
      <c r="G35" s="3">
        <v>4.7</v>
      </c>
      <c r="H35" s="118"/>
      <c r="I35" s="122">
        <v>5976.0</v>
      </c>
      <c r="J35" s="120">
        <f t="shared" si="1"/>
        <v>26.5</v>
      </c>
      <c r="K35" s="121"/>
    </row>
    <row r="36">
      <c r="A36" s="110" t="s">
        <v>292</v>
      </c>
      <c r="B36" s="3" t="s">
        <v>27</v>
      </c>
      <c r="C36" s="3">
        <v>945.6</v>
      </c>
      <c r="D36" s="3">
        <v>143.2</v>
      </c>
      <c r="E36" s="3">
        <v>225.2</v>
      </c>
      <c r="F36" s="3">
        <v>34.4</v>
      </c>
      <c r="G36" s="3">
        <v>15.3</v>
      </c>
      <c r="H36" s="118"/>
      <c r="I36" s="122">
        <v>991.0</v>
      </c>
      <c r="J36" s="120">
        <f t="shared" si="1"/>
        <v>34.7</v>
      </c>
      <c r="K36" s="121"/>
    </row>
    <row r="37">
      <c r="A37" s="110" t="s">
        <v>297</v>
      </c>
      <c r="B37" s="3" t="s">
        <v>27</v>
      </c>
      <c r="C37" s="3">
        <v>907.7</v>
      </c>
      <c r="D37" s="3">
        <v>153.7</v>
      </c>
      <c r="E37" s="3">
        <v>124.8</v>
      </c>
      <c r="F37" s="3">
        <v>84.1</v>
      </c>
      <c r="G37" s="3">
        <v>67.4</v>
      </c>
      <c r="H37" s="118"/>
      <c r="I37" s="122">
        <v>2442.0</v>
      </c>
      <c r="J37" s="120">
        <f t="shared" si="1"/>
        <v>34.4</v>
      </c>
      <c r="K37" s="121"/>
    </row>
    <row r="38">
      <c r="A38" s="110" t="s">
        <v>105</v>
      </c>
      <c r="B38" s="3" t="s">
        <v>27</v>
      </c>
      <c r="C38" s="3">
        <v>3455.0</v>
      </c>
      <c r="D38" s="3">
        <v>639.5</v>
      </c>
      <c r="E38" s="3">
        <v>1303.1</v>
      </c>
      <c r="F38" s="3">
        <v>196.5</v>
      </c>
      <c r="G38" s="3">
        <v>15.1</v>
      </c>
      <c r="H38" s="118"/>
      <c r="I38" s="122">
        <v>4137.0</v>
      </c>
      <c r="J38" s="120">
        <f t="shared" si="1"/>
        <v>47.5</v>
      </c>
      <c r="K38" s="121"/>
    </row>
    <row r="39">
      <c r="A39" s="110" t="s">
        <v>307</v>
      </c>
      <c r="B39" s="3" t="s">
        <v>27</v>
      </c>
      <c r="C39" s="3">
        <v>54.1</v>
      </c>
      <c r="D39" s="3">
        <v>16.7</v>
      </c>
      <c r="E39" s="3">
        <v>27.9</v>
      </c>
      <c r="F39" s="3">
        <v>22.2</v>
      </c>
      <c r="G39" s="3">
        <v>79.4</v>
      </c>
      <c r="H39" s="118"/>
      <c r="I39" s="122">
        <v>560.0</v>
      </c>
      <c r="J39" s="120">
        <f t="shared" si="1"/>
        <v>39.6</v>
      </c>
      <c r="K39" s="123"/>
    </row>
    <row r="40">
      <c r="A40" s="110" t="s">
        <v>122</v>
      </c>
      <c r="B40" s="3" t="s">
        <v>28</v>
      </c>
      <c r="C40" s="3">
        <v>1192.7</v>
      </c>
      <c r="D40" s="3">
        <v>593.4</v>
      </c>
      <c r="E40" s="3">
        <v>345.0</v>
      </c>
      <c r="F40" s="3">
        <v>7.5</v>
      </c>
      <c r="G40" s="3">
        <v>2.2</v>
      </c>
      <c r="H40" s="118"/>
      <c r="I40" s="122">
        <v>3182.0</v>
      </c>
      <c r="J40" s="120">
        <f t="shared" si="1"/>
        <v>2.4</v>
      </c>
      <c r="K40" s="121"/>
    </row>
    <row r="41">
      <c r="A41" s="110" t="s">
        <v>120</v>
      </c>
      <c r="B41" s="3" t="s">
        <v>28</v>
      </c>
      <c r="C41" s="3">
        <v>50.7</v>
      </c>
      <c r="D41" s="3">
        <v>14.5</v>
      </c>
      <c r="E41" s="3">
        <v>2.6</v>
      </c>
      <c r="F41" s="3">
        <v>0.6</v>
      </c>
      <c r="G41" s="3">
        <v>24.5</v>
      </c>
      <c r="H41" s="118"/>
      <c r="I41" s="122">
        <v>524.0</v>
      </c>
      <c r="J41" s="120">
        <f t="shared" si="1"/>
        <v>1.1</v>
      </c>
      <c r="K41" s="121"/>
    </row>
    <row r="42">
      <c r="A42" s="110" t="s">
        <v>130</v>
      </c>
      <c r="B42" s="3" t="s">
        <v>28</v>
      </c>
      <c r="C42" s="3">
        <v>405.9</v>
      </c>
      <c r="D42" s="3">
        <v>117.5</v>
      </c>
      <c r="E42" s="3">
        <v>22.7</v>
      </c>
      <c r="F42" s="3">
        <v>20.5</v>
      </c>
      <c r="G42" s="3">
        <v>90.4</v>
      </c>
      <c r="H42" s="118"/>
      <c r="I42" s="122">
        <v>907.0</v>
      </c>
      <c r="J42" s="120">
        <f t="shared" si="1"/>
        <v>22.6</v>
      </c>
      <c r="K42" s="121"/>
    </row>
    <row r="43">
      <c r="A43" s="110" t="s">
        <v>152</v>
      </c>
      <c r="B43" s="3" t="s">
        <v>28</v>
      </c>
      <c r="C43" s="3">
        <v>2187.4</v>
      </c>
      <c r="D43" s="3">
        <v>602.2</v>
      </c>
      <c r="E43" s="3">
        <v>44.8</v>
      </c>
      <c r="F43" s="3">
        <v>41.0</v>
      </c>
      <c r="G43" s="3">
        <v>91.4</v>
      </c>
      <c r="H43" s="118"/>
      <c r="I43" s="122">
        <v>465.0</v>
      </c>
      <c r="J43" s="120">
        <f t="shared" si="1"/>
        <v>88.2</v>
      </c>
      <c r="K43" s="121"/>
    </row>
    <row r="44">
      <c r="A44" s="110" t="s">
        <v>322</v>
      </c>
      <c r="B44" s="3" t="s">
        <v>28</v>
      </c>
      <c r="C44" s="3">
        <v>1338.3</v>
      </c>
      <c r="D44" s="3">
        <v>409.1</v>
      </c>
      <c r="E44" s="3">
        <v>198.0</v>
      </c>
      <c r="F44" s="3">
        <v>87.0</v>
      </c>
      <c r="G44" s="3">
        <v>43.9</v>
      </c>
      <c r="H44" s="118"/>
      <c r="I44" s="122">
        <v>687.0</v>
      </c>
      <c r="J44" s="120">
        <f t="shared" si="1"/>
        <v>126.6</v>
      </c>
      <c r="K44" s="121"/>
    </row>
    <row r="45">
      <c r="A45" s="110" t="s">
        <v>117</v>
      </c>
      <c r="B45" s="3" t="s">
        <v>28</v>
      </c>
      <c r="C45" s="3">
        <v>155.6</v>
      </c>
      <c r="D45" s="3">
        <v>18.4</v>
      </c>
      <c r="E45" s="3">
        <v>16.0</v>
      </c>
      <c r="F45" s="3">
        <v>0.0</v>
      </c>
      <c r="G45" s="3">
        <v>0.0</v>
      </c>
      <c r="H45" s="118"/>
      <c r="I45" s="122">
        <v>1541.0</v>
      </c>
      <c r="J45" s="120">
        <f t="shared" si="1"/>
        <v>0</v>
      </c>
      <c r="K45" s="121"/>
    </row>
    <row r="46">
      <c r="A46" s="110" t="s">
        <v>330</v>
      </c>
      <c r="B46" s="3" t="s">
        <v>28</v>
      </c>
      <c r="C46" s="3">
        <v>2943.2</v>
      </c>
      <c r="D46" s="3">
        <v>701.1</v>
      </c>
      <c r="E46" s="3">
        <v>1839.5</v>
      </c>
      <c r="F46" s="3">
        <v>115.5</v>
      </c>
      <c r="G46" s="3">
        <v>6.3</v>
      </c>
      <c r="H46" s="118"/>
      <c r="I46" s="122">
        <v>2792.0</v>
      </c>
      <c r="J46" s="120">
        <f t="shared" si="1"/>
        <v>41.4</v>
      </c>
      <c r="K46" s="123"/>
    </row>
    <row r="47">
      <c r="A47" s="110" t="s">
        <v>110</v>
      </c>
      <c r="B47" s="3" t="s">
        <v>29</v>
      </c>
      <c r="C47" s="3">
        <v>825.3</v>
      </c>
      <c r="D47" s="3">
        <v>56.9</v>
      </c>
      <c r="E47" s="3">
        <v>469.2</v>
      </c>
      <c r="F47" s="3">
        <v>169.8</v>
      </c>
      <c r="G47" s="3">
        <v>36.2</v>
      </c>
      <c r="H47" s="118"/>
      <c r="I47" s="122">
        <v>3984.0</v>
      </c>
      <c r="J47" s="120">
        <f t="shared" si="1"/>
        <v>42.6</v>
      </c>
      <c r="K47" s="121"/>
    </row>
    <row r="48">
      <c r="A48" s="110" t="s">
        <v>339</v>
      </c>
      <c r="B48" s="3" t="s">
        <v>29</v>
      </c>
      <c r="C48" s="3">
        <v>75.9</v>
      </c>
      <c r="D48" s="3">
        <v>3.8</v>
      </c>
      <c r="E48" s="3">
        <v>54.7</v>
      </c>
      <c r="F48" s="3">
        <v>28.7</v>
      </c>
      <c r="G48" s="3">
        <v>52.5</v>
      </c>
      <c r="H48" s="118"/>
      <c r="I48" s="122">
        <v>666.0</v>
      </c>
      <c r="J48" s="120">
        <f t="shared" si="1"/>
        <v>43.1</v>
      </c>
      <c r="K48" s="121"/>
    </row>
    <row r="49">
      <c r="A49" s="110" t="s">
        <v>124</v>
      </c>
      <c r="B49" s="3" t="s">
        <v>29</v>
      </c>
      <c r="C49" s="3">
        <v>60.1</v>
      </c>
      <c r="D49" s="3">
        <v>6.8</v>
      </c>
      <c r="E49" s="3">
        <v>30.4</v>
      </c>
      <c r="F49" s="3">
        <v>5.0</v>
      </c>
      <c r="G49" s="3">
        <v>16.4</v>
      </c>
      <c r="H49" s="118"/>
      <c r="I49" s="122">
        <v>764.0</v>
      </c>
      <c r="J49" s="120">
        <f t="shared" si="1"/>
        <v>6.5</v>
      </c>
      <c r="K49" s="121"/>
    </row>
    <row r="50">
      <c r="A50" s="110" t="s">
        <v>107</v>
      </c>
      <c r="B50" s="3" t="s">
        <v>29</v>
      </c>
      <c r="C50" s="3">
        <v>888.8</v>
      </c>
      <c r="D50" s="3">
        <v>58.8</v>
      </c>
      <c r="E50" s="3">
        <v>523.4</v>
      </c>
      <c r="F50" s="3">
        <v>195.2</v>
      </c>
      <c r="G50" s="3">
        <v>37.7</v>
      </c>
      <c r="H50" s="118"/>
      <c r="I50" s="122">
        <v>3980.0</v>
      </c>
      <c r="J50" s="120">
        <f t="shared" si="1"/>
        <v>49</v>
      </c>
      <c r="K50" s="121"/>
    </row>
    <row r="51">
      <c r="A51" s="110" t="s">
        <v>350</v>
      </c>
      <c r="B51" s="3" t="s">
        <v>29</v>
      </c>
      <c r="C51" s="3">
        <v>289.1</v>
      </c>
      <c r="D51" s="3">
        <v>18.2</v>
      </c>
      <c r="E51" s="3">
        <v>109.4</v>
      </c>
      <c r="F51" s="3">
        <v>65.5</v>
      </c>
      <c r="G51" s="3">
        <v>59.8</v>
      </c>
      <c r="H51" s="118"/>
      <c r="I51" s="122">
        <v>1453.0</v>
      </c>
      <c r="J51" s="120">
        <f t="shared" si="1"/>
        <v>45.1</v>
      </c>
      <c r="K51" s="121"/>
    </row>
    <row r="52">
      <c r="A52" s="110" t="s">
        <v>355</v>
      </c>
      <c r="B52" s="3" t="s">
        <v>29</v>
      </c>
      <c r="C52" s="3">
        <v>95.4</v>
      </c>
      <c r="D52" s="3">
        <v>3.3</v>
      </c>
      <c r="E52" s="3">
        <v>110.3</v>
      </c>
      <c r="F52" s="3">
        <v>61.0</v>
      </c>
      <c r="G52" s="3">
        <v>55.3</v>
      </c>
      <c r="H52" s="118"/>
      <c r="I52" s="122">
        <v>1174.0</v>
      </c>
      <c r="J52" s="120">
        <f t="shared" si="1"/>
        <v>52</v>
      </c>
      <c r="K52" s="121"/>
    </row>
    <row r="53">
      <c r="A53" s="110" t="s">
        <v>360</v>
      </c>
      <c r="B53" s="3" t="s">
        <v>29</v>
      </c>
      <c r="C53" s="3">
        <v>1683.7</v>
      </c>
      <c r="D53" s="3">
        <v>45.5</v>
      </c>
      <c r="E53" s="3">
        <v>1518.0</v>
      </c>
      <c r="F53" s="3">
        <v>119.7</v>
      </c>
      <c r="G53" s="3">
        <v>7.9</v>
      </c>
      <c r="H53" s="118"/>
      <c r="I53" s="122">
        <v>2556.0</v>
      </c>
      <c r="J53" s="120">
        <f t="shared" si="1"/>
        <v>46.8</v>
      </c>
      <c r="K53" s="121"/>
    </row>
    <row r="54">
      <c r="A54" s="110" t="s">
        <v>365</v>
      </c>
      <c r="B54" s="3" t="s">
        <v>29</v>
      </c>
      <c r="C54" s="3">
        <v>144.5</v>
      </c>
      <c r="D54" s="3">
        <v>3.1</v>
      </c>
      <c r="E54" s="3">
        <v>88.8</v>
      </c>
      <c r="F54" s="3">
        <v>70.5</v>
      </c>
      <c r="G54" s="3">
        <v>79.4</v>
      </c>
      <c r="H54" s="118"/>
      <c r="I54" s="122">
        <v>1188.0</v>
      </c>
      <c r="J54" s="120">
        <f t="shared" si="1"/>
        <v>59.3</v>
      </c>
      <c r="K54" s="121"/>
    </row>
    <row r="55">
      <c r="A55" s="110" t="s">
        <v>92</v>
      </c>
      <c r="B55" s="3" t="s">
        <v>29</v>
      </c>
      <c r="C55" s="3">
        <v>832.8</v>
      </c>
      <c r="D55" s="3">
        <v>62.1</v>
      </c>
      <c r="E55" s="3">
        <v>824.8</v>
      </c>
      <c r="F55" s="3">
        <v>313.7</v>
      </c>
      <c r="G55" s="3">
        <v>38.0</v>
      </c>
      <c r="H55" s="118"/>
      <c r="I55" s="122">
        <v>3092.0</v>
      </c>
      <c r="J55" s="120">
        <f t="shared" si="1"/>
        <v>101.5</v>
      </c>
      <c r="K55" s="121"/>
    </row>
    <row r="56">
      <c r="A56" s="110" t="s">
        <v>374</v>
      </c>
      <c r="B56" s="3" t="s">
        <v>29</v>
      </c>
      <c r="C56" s="3">
        <v>923.8</v>
      </c>
      <c r="D56" s="3">
        <v>26.4</v>
      </c>
      <c r="E56" s="3">
        <v>805.4</v>
      </c>
      <c r="F56" s="3">
        <v>100.5</v>
      </c>
      <c r="G56" s="3">
        <v>12.5</v>
      </c>
      <c r="H56" s="118"/>
      <c r="I56" s="122">
        <v>1867.0</v>
      </c>
      <c r="J56" s="120">
        <f t="shared" si="1"/>
        <v>53.8</v>
      </c>
      <c r="K56" s="121"/>
    </row>
    <row r="57">
      <c r="A57" s="110" t="s">
        <v>378</v>
      </c>
      <c r="B57" s="3" t="s">
        <v>29</v>
      </c>
      <c r="C57" s="3">
        <v>252.1</v>
      </c>
      <c r="D57" s="3">
        <v>28.2</v>
      </c>
      <c r="E57" s="3">
        <v>220.7</v>
      </c>
      <c r="F57" s="3">
        <v>93.3</v>
      </c>
      <c r="G57" s="3">
        <v>42.3</v>
      </c>
      <c r="H57" s="118"/>
      <c r="I57" s="122">
        <v>1252.0</v>
      </c>
      <c r="J57" s="120">
        <f t="shared" si="1"/>
        <v>74.5</v>
      </c>
      <c r="K57" s="121"/>
    </row>
    <row r="58">
      <c r="A58" s="110" t="s">
        <v>90</v>
      </c>
      <c r="B58" s="3" t="s">
        <v>29</v>
      </c>
      <c r="C58" s="3">
        <v>697.9</v>
      </c>
      <c r="D58" s="3">
        <v>110.1</v>
      </c>
      <c r="E58" s="3">
        <v>402.3</v>
      </c>
      <c r="F58" s="3">
        <v>346.4</v>
      </c>
      <c r="G58" s="3">
        <v>86.1</v>
      </c>
      <c r="H58" s="118"/>
      <c r="I58" s="122">
        <v>3131.0</v>
      </c>
      <c r="J58" s="120">
        <f t="shared" si="1"/>
        <v>110.6</v>
      </c>
      <c r="K58" s="121"/>
    </row>
    <row r="59">
      <c r="A59" s="110" t="s">
        <v>388</v>
      </c>
      <c r="B59" s="3" t="s">
        <v>29</v>
      </c>
      <c r="C59" s="3">
        <v>689.8</v>
      </c>
      <c r="D59" s="3">
        <v>75.8</v>
      </c>
      <c r="E59" s="3">
        <v>187.8</v>
      </c>
      <c r="F59" s="3">
        <v>84.0</v>
      </c>
      <c r="G59" s="3">
        <v>44.7</v>
      </c>
      <c r="H59" s="118"/>
      <c r="I59" s="122">
        <v>2330.0</v>
      </c>
      <c r="J59" s="120">
        <f t="shared" si="1"/>
        <v>36.1</v>
      </c>
      <c r="K59" s="121"/>
    </row>
    <row r="60">
      <c r="A60" s="110" t="s">
        <v>394</v>
      </c>
      <c r="B60" s="3" t="s">
        <v>29</v>
      </c>
      <c r="C60" s="3">
        <v>124.7</v>
      </c>
      <c r="D60" s="3">
        <v>16.4</v>
      </c>
      <c r="E60" s="3">
        <v>115.6</v>
      </c>
      <c r="F60" s="3">
        <v>89.1</v>
      </c>
      <c r="G60" s="3">
        <v>77.0</v>
      </c>
      <c r="H60" s="118"/>
      <c r="I60" s="122">
        <v>1173.0</v>
      </c>
      <c r="J60" s="120">
        <f t="shared" si="1"/>
        <v>76</v>
      </c>
      <c r="K60" s="123"/>
    </row>
    <row r="61">
      <c r="A61" s="110" t="s">
        <v>112</v>
      </c>
      <c r="B61" s="3" t="s">
        <v>30</v>
      </c>
      <c r="C61" s="3">
        <v>54.7</v>
      </c>
      <c r="D61" s="3">
        <v>13.5</v>
      </c>
      <c r="E61" s="3">
        <v>31.5</v>
      </c>
      <c r="F61" s="3">
        <v>31.4</v>
      </c>
      <c r="G61" s="3">
        <v>99.7</v>
      </c>
      <c r="H61" s="118"/>
      <c r="I61" s="122">
        <v>779.0</v>
      </c>
      <c r="J61" s="120">
        <f t="shared" si="1"/>
        <v>40.3</v>
      </c>
      <c r="K61" s="121"/>
    </row>
    <row r="62">
      <c r="A62" s="110" t="s">
        <v>87</v>
      </c>
      <c r="B62" s="3" t="s">
        <v>30</v>
      </c>
      <c r="C62" s="3">
        <v>734.3</v>
      </c>
      <c r="D62" s="3">
        <v>111.3</v>
      </c>
      <c r="E62" s="3">
        <v>668.6</v>
      </c>
      <c r="F62" s="3">
        <v>501.3</v>
      </c>
      <c r="G62" s="3">
        <v>75.0</v>
      </c>
      <c r="H62" s="118"/>
      <c r="I62" s="122">
        <v>4267.0</v>
      </c>
      <c r="J62" s="120">
        <f t="shared" si="1"/>
        <v>117.5</v>
      </c>
      <c r="K62" s="121"/>
    </row>
    <row r="63">
      <c r="A63" s="110" t="s">
        <v>404</v>
      </c>
      <c r="B63" s="3" t="s">
        <v>30</v>
      </c>
      <c r="C63" s="3">
        <v>464.9</v>
      </c>
      <c r="D63" s="3">
        <v>11.5</v>
      </c>
      <c r="E63" s="3">
        <v>328.6</v>
      </c>
      <c r="F63" s="3">
        <v>85.8</v>
      </c>
      <c r="G63" s="3">
        <v>26.1</v>
      </c>
      <c r="H63" s="118"/>
      <c r="I63" s="122">
        <v>1730.0</v>
      </c>
      <c r="J63" s="120">
        <f t="shared" si="1"/>
        <v>49.6</v>
      </c>
      <c r="K63" s="121"/>
    </row>
    <row r="64">
      <c r="A64" s="110" t="s">
        <v>407</v>
      </c>
      <c r="B64" s="3" t="s">
        <v>30</v>
      </c>
      <c r="C64" s="3">
        <v>2527.9</v>
      </c>
      <c r="D64" s="3">
        <v>10.2</v>
      </c>
      <c r="E64" s="3">
        <v>492.2</v>
      </c>
      <c r="F64" s="3">
        <v>63.5</v>
      </c>
      <c r="G64" s="3">
        <v>12.9</v>
      </c>
      <c r="H64" s="118"/>
      <c r="I64" s="122">
        <v>513.0</v>
      </c>
      <c r="J64" s="120">
        <f t="shared" si="1"/>
        <v>123.8</v>
      </c>
      <c r="K64" s="121"/>
    </row>
    <row r="65">
      <c r="A65" s="110" t="s">
        <v>109</v>
      </c>
      <c r="B65" s="3" t="s">
        <v>30</v>
      </c>
      <c r="C65" s="3">
        <v>215.8</v>
      </c>
      <c r="D65" s="3">
        <v>5.7</v>
      </c>
      <c r="E65" s="3">
        <v>31.6</v>
      </c>
      <c r="F65" s="3">
        <v>22.6</v>
      </c>
      <c r="G65" s="3">
        <v>71.3</v>
      </c>
      <c r="H65" s="118"/>
      <c r="I65" s="122">
        <v>1600.0</v>
      </c>
      <c r="J65" s="120">
        <f t="shared" si="1"/>
        <v>14.1</v>
      </c>
      <c r="K65" s="121"/>
    </row>
    <row r="66">
      <c r="A66" s="110" t="s">
        <v>93</v>
      </c>
      <c r="B66" s="3" t="s">
        <v>30</v>
      </c>
      <c r="C66" s="3">
        <v>1013.7</v>
      </c>
      <c r="D66" s="3">
        <v>88.2</v>
      </c>
      <c r="E66" s="3">
        <v>732.5</v>
      </c>
      <c r="F66" s="3">
        <v>271.5</v>
      </c>
      <c r="G66" s="3">
        <v>37.1</v>
      </c>
      <c r="H66" s="118"/>
      <c r="I66" s="122">
        <v>3411.0</v>
      </c>
      <c r="J66" s="120">
        <f t="shared" si="1"/>
        <v>79.6</v>
      </c>
      <c r="K66" s="123"/>
    </row>
    <row r="67">
      <c r="A67" s="110" t="s">
        <v>119</v>
      </c>
      <c r="B67" s="3" t="s">
        <v>31</v>
      </c>
      <c r="C67" s="3">
        <v>10.6</v>
      </c>
      <c r="D67" s="3">
        <v>2.8</v>
      </c>
      <c r="E67" s="3">
        <v>3.1</v>
      </c>
      <c r="F67" s="3">
        <v>0.4</v>
      </c>
      <c r="G67" s="3">
        <v>13.1</v>
      </c>
      <c r="H67" s="118"/>
      <c r="I67" s="122">
        <v>211.0</v>
      </c>
      <c r="J67" s="120">
        <f t="shared" si="1"/>
        <v>1.9</v>
      </c>
      <c r="K67" s="121"/>
    </row>
    <row r="68">
      <c r="A68" s="110" t="s">
        <v>126</v>
      </c>
      <c r="B68" s="3" t="s">
        <v>31</v>
      </c>
      <c r="C68" s="3">
        <v>35.4</v>
      </c>
      <c r="D68" s="3">
        <v>5.2</v>
      </c>
      <c r="E68" s="3">
        <v>13.3</v>
      </c>
      <c r="F68" s="3">
        <v>7.1</v>
      </c>
      <c r="G68" s="3">
        <v>53.3</v>
      </c>
      <c r="H68" s="118"/>
      <c r="I68" s="122">
        <v>337.0</v>
      </c>
      <c r="J68" s="120">
        <f t="shared" si="1"/>
        <v>21.1</v>
      </c>
      <c r="K68" s="121"/>
    </row>
    <row r="69">
      <c r="A69" s="110" t="s">
        <v>419</v>
      </c>
      <c r="B69" s="3" t="s">
        <v>31</v>
      </c>
      <c r="C69" s="3">
        <v>62.3</v>
      </c>
      <c r="D69" s="3">
        <v>15.5</v>
      </c>
      <c r="E69" s="3">
        <v>92.7</v>
      </c>
      <c r="F69" s="3">
        <v>31.9</v>
      </c>
      <c r="G69" s="3">
        <v>34.4</v>
      </c>
      <c r="H69" s="118"/>
      <c r="I69" s="122">
        <v>534.0</v>
      </c>
      <c r="J69" s="120">
        <f t="shared" si="1"/>
        <v>59.7</v>
      </c>
      <c r="K69" s="121"/>
    </row>
    <row r="70">
      <c r="A70" s="110" t="s">
        <v>125</v>
      </c>
      <c r="B70" s="3" t="s">
        <v>31</v>
      </c>
      <c r="C70" s="3">
        <v>467.6</v>
      </c>
      <c r="D70" s="3">
        <v>16.3</v>
      </c>
      <c r="E70" s="3">
        <v>353.5</v>
      </c>
      <c r="F70" s="3">
        <v>13.2</v>
      </c>
      <c r="G70" s="3">
        <v>3.7</v>
      </c>
      <c r="H70" s="118"/>
      <c r="I70" s="122">
        <v>2268.0</v>
      </c>
      <c r="J70" s="120">
        <f t="shared" si="1"/>
        <v>5.8</v>
      </c>
      <c r="K70" s="121"/>
    </row>
    <row r="71">
      <c r="A71" s="110" t="s">
        <v>94</v>
      </c>
      <c r="B71" s="3" t="s">
        <v>31</v>
      </c>
      <c r="C71" s="3">
        <v>2136.5</v>
      </c>
      <c r="D71" s="3">
        <v>82.9</v>
      </c>
      <c r="E71" s="3">
        <v>1827.6</v>
      </c>
      <c r="F71" s="3">
        <v>283.6</v>
      </c>
      <c r="G71" s="3">
        <v>15.5</v>
      </c>
      <c r="H71" s="118"/>
      <c r="I71" s="122">
        <v>2847.0</v>
      </c>
      <c r="J71" s="120">
        <f t="shared" si="1"/>
        <v>99.6</v>
      </c>
      <c r="K71" s="121"/>
    </row>
    <row r="72">
      <c r="A72" s="110" t="s">
        <v>88</v>
      </c>
      <c r="B72" s="3" t="s">
        <v>31</v>
      </c>
      <c r="C72" s="3">
        <v>1114.2</v>
      </c>
      <c r="D72" s="3">
        <v>62.8</v>
      </c>
      <c r="E72" s="3">
        <v>994.6</v>
      </c>
      <c r="F72" s="3">
        <v>472.0</v>
      </c>
      <c r="G72" s="3">
        <v>47.5</v>
      </c>
      <c r="H72" s="118"/>
      <c r="I72" s="122">
        <v>2344.0</v>
      </c>
      <c r="J72" s="120">
        <f t="shared" si="1"/>
        <v>201.4</v>
      </c>
      <c r="K72" s="121"/>
    </row>
    <row r="73">
      <c r="A73" s="110" t="s">
        <v>432</v>
      </c>
      <c r="B73" s="3" t="s">
        <v>31</v>
      </c>
      <c r="C73" s="3">
        <v>1491.5</v>
      </c>
      <c r="D73" s="3">
        <v>41.3</v>
      </c>
      <c r="E73" s="3">
        <v>1474.0</v>
      </c>
      <c r="F73" s="3">
        <v>135.1</v>
      </c>
      <c r="G73" s="3">
        <v>9.2</v>
      </c>
      <c r="H73" s="118"/>
      <c r="I73" s="122">
        <v>2573.0</v>
      </c>
      <c r="J73" s="120">
        <f t="shared" si="1"/>
        <v>52.5</v>
      </c>
      <c r="K73" s="121"/>
    </row>
    <row r="74">
      <c r="A74" s="110" t="s">
        <v>132</v>
      </c>
      <c r="B74" s="3" t="s">
        <v>31</v>
      </c>
      <c r="C74" s="3">
        <v>687.2</v>
      </c>
      <c r="D74" s="3">
        <v>37.5</v>
      </c>
      <c r="E74" s="3">
        <v>573.6</v>
      </c>
      <c r="F74" s="3">
        <v>75.7</v>
      </c>
      <c r="G74" s="3">
        <v>13.2</v>
      </c>
      <c r="H74" s="118"/>
      <c r="I74" s="122">
        <v>2857.0</v>
      </c>
      <c r="J74" s="120">
        <f t="shared" si="1"/>
        <v>26.5</v>
      </c>
      <c r="K74" s="121"/>
    </row>
    <row r="75">
      <c r="A75" s="110" t="s">
        <v>101</v>
      </c>
      <c r="B75" s="3" t="s">
        <v>31</v>
      </c>
      <c r="C75" s="3">
        <v>217.6</v>
      </c>
      <c r="D75" s="3">
        <v>29.2</v>
      </c>
      <c r="E75" s="3">
        <v>132.9</v>
      </c>
      <c r="F75" s="3">
        <v>124.8</v>
      </c>
      <c r="G75" s="3">
        <v>93.9</v>
      </c>
      <c r="H75" s="118"/>
      <c r="I75" s="122">
        <v>1867.0</v>
      </c>
      <c r="J75" s="120">
        <f t="shared" si="1"/>
        <v>66.8</v>
      </c>
      <c r="K75" s="121"/>
    </row>
    <row r="76">
      <c r="A76" s="110" t="s">
        <v>95</v>
      </c>
      <c r="B76" s="3" t="s">
        <v>31</v>
      </c>
      <c r="C76" s="3">
        <v>357.9</v>
      </c>
      <c r="D76" s="3">
        <v>6.2</v>
      </c>
      <c r="E76" s="3">
        <v>259.7</v>
      </c>
      <c r="F76" s="3">
        <v>142.5</v>
      </c>
      <c r="G76" s="3">
        <v>54.8</v>
      </c>
      <c r="H76" s="118"/>
      <c r="I76" s="122">
        <v>1063.0</v>
      </c>
      <c r="J76" s="120">
        <f t="shared" si="1"/>
        <v>134.1</v>
      </c>
      <c r="K76" s="123"/>
    </row>
    <row r="77">
      <c r="A77" s="110" t="s">
        <v>449</v>
      </c>
      <c r="B77" s="3" t="s">
        <v>32</v>
      </c>
      <c r="C77" s="3">
        <v>690.0</v>
      </c>
      <c r="D77" s="3">
        <v>10.0</v>
      </c>
      <c r="E77" s="3">
        <v>755.1</v>
      </c>
      <c r="F77" s="3">
        <v>28.6</v>
      </c>
      <c r="G77" s="3">
        <v>3.8</v>
      </c>
      <c r="H77" s="118"/>
      <c r="I77" s="122">
        <v>990.0</v>
      </c>
      <c r="J77" s="120">
        <f t="shared" si="1"/>
        <v>28.9</v>
      </c>
      <c r="K77" s="121"/>
    </row>
    <row r="78">
      <c r="A78" s="110" t="s">
        <v>453</v>
      </c>
      <c r="B78" s="3" t="s">
        <v>32</v>
      </c>
      <c r="C78" s="3">
        <v>198.6</v>
      </c>
      <c r="D78" s="3">
        <v>7.0</v>
      </c>
      <c r="E78" s="3">
        <v>175.0</v>
      </c>
      <c r="F78" s="3">
        <v>66.7</v>
      </c>
      <c r="G78" s="3">
        <v>38.1</v>
      </c>
      <c r="H78" s="118"/>
      <c r="I78" s="122">
        <v>1001.0</v>
      </c>
      <c r="J78" s="120">
        <f t="shared" si="1"/>
        <v>66.6</v>
      </c>
      <c r="K78" s="121"/>
    </row>
    <row r="79">
      <c r="A79" s="110" t="s">
        <v>459</v>
      </c>
      <c r="B79" s="3" t="s">
        <v>32</v>
      </c>
      <c r="C79" s="3">
        <v>219.9</v>
      </c>
      <c r="D79" s="3">
        <v>14.0</v>
      </c>
      <c r="E79" s="3">
        <v>217.4</v>
      </c>
      <c r="F79" s="3">
        <v>63.4</v>
      </c>
      <c r="G79" s="3">
        <v>29.2</v>
      </c>
      <c r="H79" s="118"/>
      <c r="I79" s="122">
        <v>990.0</v>
      </c>
      <c r="J79" s="120">
        <f t="shared" si="1"/>
        <v>64</v>
      </c>
      <c r="K79" s="121"/>
    </row>
    <row r="80">
      <c r="A80" s="110" t="s">
        <v>108</v>
      </c>
      <c r="B80" s="3" t="s">
        <v>32</v>
      </c>
      <c r="C80" s="3">
        <v>163.3</v>
      </c>
      <c r="D80" s="3">
        <v>14.8</v>
      </c>
      <c r="E80" s="3">
        <v>123.0</v>
      </c>
      <c r="F80" s="3">
        <v>31.5</v>
      </c>
      <c r="G80" s="3">
        <v>25.6</v>
      </c>
      <c r="H80" s="118"/>
      <c r="I80" s="122">
        <v>291.0</v>
      </c>
      <c r="J80" s="120">
        <f t="shared" si="1"/>
        <v>108.2</v>
      </c>
      <c r="K80" s="121"/>
    </row>
    <row r="81">
      <c r="A81" s="110" t="s">
        <v>102</v>
      </c>
      <c r="B81" s="3" t="s">
        <v>32</v>
      </c>
      <c r="C81" s="3">
        <v>564.5</v>
      </c>
      <c r="D81" s="3">
        <v>102.0</v>
      </c>
      <c r="E81" s="3">
        <v>340.8</v>
      </c>
      <c r="F81" s="3">
        <v>201.0</v>
      </c>
      <c r="G81" s="3">
        <v>59.0</v>
      </c>
      <c r="H81" s="118"/>
      <c r="I81" s="122">
        <v>1820.0</v>
      </c>
      <c r="J81" s="120">
        <f t="shared" si="1"/>
        <v>110.4</v>
      </c>
      <c r="K81" s="121"/>
    </row>
    <row r="82">
      <c r="A82" s="110" t="s">
        <v>98</v>
      </c>
      <c r="B82" s="3" t="s">
        <v>32</v>
      </c>
      <c r="C82" s="3">
        <v>368.8</v>
      </c>
      <c r="D82" s="3">
        <v>21.0</v>
      </c>
      <c r="E82" s="3">
        <v>335.0</v>
      </c>
      <c r="F82" s="3">
        <v>164.3</v>
      </c>
      <c r="G82" s="3">
        <v>49.0</v>
      </c>
      <c r="H82" s="118"/>
      <c r="I82" s="122">
        <v>1289.0</v>
      </c>
      <c r="J82" s="120">
        <f t="shared" si="1"/>
        <v>127.5</v>
      </c>
      <c r="K82" s="121"/>
    </row>
    <row r="83">
      <c r="A83" s="110" t="s">
        <v>476</v>
      </c>
      <c r="B83" s="3" t="s">
        <v>32</v>
      </c>
      <c r="C83" s="3">
        <v>79.3</v>
      </c>
      <c r="D83" s="3">
        <v>3.9</v>
      </c>
      <c r="E83" s="3">
        <v>69.7</v>
      </c>
      <c r="F83" s="3">
        <v>57.8</v>
      </c>
      <c r="G83" s="3">
        <v>82.9</v>
      </c>
      <c r="H83" s="118"/>
      <c r="I83" s="122">
        <v>762.0</v>
      </c>
      <c r="J83" s="120">
        <f t="shared" si="1"/>
        <v>75.9</v>
      </c>
      <c r="K83" s="121"/>
    </row>
    <row r="84">
      <c r="A84" s="110" t="s">
        <v>111</v>
      </c>
      <c r="B84" s="3" t="s">
        <v>32</v>
      </c>
      <c r="C84" s="3">
        <v>70.6</v>
      </c>
      <c r="D84" s="3">
        <v>1.2</v>
      </c>
      <c r="E84" s="3">
        <v>38.9</v>
      </c>
      <c r="F84" s="3">
        <v>14.4</v>
      </c>
      <c r="G84" s="3">
        <v>36.9</v>
      </c>
      <c r="H84" s="118"/>
      <c r="I84" s="122">
        <v>136.0</v>
      </c>
      <c r="J84" s="120">
        <f t="shared" si="1"/>
        <v>105.9</v>
      </c>
      <c r="K84" s="121"/>
    </row>
    <row r="85">
      <c r="A85" s="110" t="s">
        <v>483</v>
      </c>
      <c r="B85" s="3" t="s">
        <v>32</v>
      </c>
      <c r="C85" s="3">
        <v>161.7</v>
      </c>
      <c r="D85" s="3">
        <v>19.0</v>
      </c>
      <c r="E85" s="3">
        <v>125.3</v>
      </c>
      <c r="F85" s="3">
        <v>18.2</v>
      </c>
      <c r="G85" s="3">
        <v>14.5</v>
      </c>
      <c r="H85" s="118"/>
      <c r="I85" s="122">
        <v>464.0</v>
      </c>
      <c r="J85" s="120">
        <f t="shared" si="1"/>
        <v>39.2</v>
      </c>
      <c r="K85" s="121"/>
    </row>
    <row r="86">
      <c r="A86" s="110" t="s">
        <v>129</v>
      </c>
      <c r="B86" s="3" t="s">
        <v>32</v>
      </c>
      <c r="C86" s="3">
        <v>22.7</v>
      </c>
      <c r="D86" s="3">
        <v>2.9</v>
      </c>
      <c r="E86" s="3">
        <v>13.4</v>
      </c>
      <c r="F86" s="3">
        <v>11.7</v>
      </c>
      <c r="G86" s="3">
        <v>87.3</v>
      </c>
      <c r="H86" s="118"/>
      <c r="I86" s="122">
        <v>150.0</v>
      </c>
      <c r="J86" s="120">
        <f t="shared" si="1"/>
        <v>78</v>
      </c>
      <c r="K86" s="121"/>
    </row>
    <row r="87">
      <c r="A87" s="110" t="s">
        <v>123</v>
      </c>
      <c r="B87" s="3" t="s">
        <v>32</v>
      </c>
      <c r="C87" s="3">
        <v>102.3</v>
      </c>
      <c r="D87" s="3">
        <v>0.4</v>
      </c>
      <c r="E87" s="3">
        <v>99.1</v>
      </c>
      <c r="F87" s="3">
        <v>2.9</v>
      </c>
      <c r="G87" s="3">
        <v>2.9</v>
      </c>
      <c r="H87" s="118"/>
      <c r="I87" s="122">
        <v>48.0</v>
      </c>
      <c r="J87" s="120">
        <f t="shared" si="1"/>
        <v>60.4</v>
      </c>
      <c r="K87" s="123"/>
    </row>
  </sheetData>
  <mergeCells count="1">
    <mergeCell ref="A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5"/>
    <col customWidth="1" min="3" max="3" width="19.38"/>
    <col customWidth="1" min="4" max="4" width="18.88"/>
    <col customWidth="1" min="5" max="5" width="19.13"/>
  </cols>
  <sheetData>
    <row r="1"/>
    <row r="2"/>
    <row r="3"/>
    <row r="4"/>
    <row r="5"/>
    <row r="6"/>
    <row r="7"/>
    <row r="8"/>
    <row r="9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25.75"/>
    <col customWidth="1" min="5" max="5" width="13.25"/>
  </cols>
  <sheetData>
    <row r="1">
      <c r="A1" s="125" t="s">
        <v>500</v>
      </c>
      <c r="B1" s="39"/>
      <c r="C1" s="39"/>
      <c r="D1" s="39"/>
      <c r="E1" s="2"/>
    </row>
    <row r="2">
      <c r="A2" s="126" t="s">
        <v>501</v>
      </c>
      <c r="B2" s="126" t="s">
        <v>502</v>
      </c>
      <c r="C2" s="126" t="s">
        <v>503</v>
      </c>
      <c r="D2" s="126" t="s">
        <v>504</v>
      </c>
      <c r="E2" s="126" t="s">
        <v>505</v>
      </c>
    </row>
    <row r="3">
      <c r="A3" s="127">
        <v>2022.0</v>
      </c>
      <c r="B3" s="128" t="s">
        <v>125</v>
      </c>
      <c r="C3" s="129">
        <v>0.0</v>
      </c>
      <c r="D3" s="129">
        <v>1.0</v>
      </c>
      <c r="E3" s="129">
        <v>1.0</v>
      </c>
    </row>
    <row r="4">
      <c r="A4" s="127">
        <v>2022.0</v>
      </c>
      <c r="B4" s="128" t="s">
        <v>86</v>
      </c>
      <c r="C4" s="129">
        <v>2.0</v>
      </c>
      <c r="D4" s="129">
        <v>2.0</v>
      </c>
      <c r="E4" s="129">
        <v>4.0</v>
      </c>
    </row>
    <row r="5">
      <c r="A5" s="127">
        <v>2022.0</v>
      </c>
      <c r="B5" s="128" t="s">
        <v>162</v>
      </c>
      <c r="C5" s="129">
        <v>2.0</v>
      </c>
      <c r="D5" s="129">
        <v>0.0</v>
      </c>
      <c r="E5" s="129">
        <v>2.0</v>
      </c>
    </row>
    <row r="6">
      <c r="A6" s="127">
        <v>2022.0</v>
      </c>
      <c r="B6" s="128" t="s">
        <v>149</v>
      </c>
      <c r="C6" s="129">
        <v>9.0</v>
      </c>
      <c r="D6" s="129">
        <v>0.0</v>
      </c>
      <c r="E6" s="129">
        <v>9.0</v>
      </c>
    </row>
    <row r="7">
      <c r="A7" s="127">
        <v>2022.0</v>
      </c>
      <c r="B7" s="128" t="s">
        <v>255</v>
      </c>
      <c r="C7" s="129">
        <v>12.0</v>
      </c>
      <c r="D7" s="129">
        <v>2.0</v>
      </c>
      <c r="E7" s="129">
        <v>14.0</v>
      </c>
    </row>
    <row r="8">
      <c r="A8" s="127">
        <v>2022.0</v>
      </c>
      <c r="B8" s="128" t="s">
        <v>104</v>
      </c>
      <c r="C8" s="129">
        <v>50.0</v>
      </c>
      <c r="D8" s="129">
        <v>0.0</v>
      </c>
      <c r="E8" s="129">
        <v>50.0</v>
      </c>
    </row>
    <row r="9">
      <c r="A9" s="127">
        <v>2022.0</v>
      </c>
      <c r="B9" s="128" t="s">
        <v>85</v>
      </c>
      <c r="C9" s="129">
        <v>4.0</v>
      </c>
      <c r="D9" s="129">
        <v>0.0</v>
      </c>
      <c r="E9" s="129">
        <v>4.0</v>
      </c>
    </row>
    <row r="10">
      <c r="A10" s="127">
        <v>2022.0</v>
      </c>
      <c r="B10" s="128" t="s">
        <v>459</v>
      </c>
      <c r="C10" s="129">
        <v>5.0</v>
      </c>
      <c r="D10" s="129">
        <v>1.0</v>
      </c>
      <c r="E10" s="129">
        <v>6.0</v>
      </c>
    </row>
    <row r="11">
      <c r="A11" s="127">
        <v>2022.0</v>
      </c>
      <c r="B11" s="128" t="s">
        <v>128</v>
      </c>
      <c r="C11" s="129">
        <v>2.0</v>
      </c>
      <c r="D11" s="129">
        <v>0.0</v>
      </c>
      <c r="E11" s="129">
        <v>2.0</v>
      </c>
    </row>
    <row r="12">
      <c r="A12" s="127">
        <v>2022.0</v>
      </c>
      <c r="B12" s="128" t="s">
        <v>130</v>
      </c>
      <c r="C12" s="129">
        <v>1.0</v>
      </c>
      <c r="D12" s="129">
        <v>0.0</v>
      </c>
      <c r="E12" s="129">
        <v>1.0</v>
      </c>
    </row>
    <row r="13">
      <c r="A13" s="127">
        <v>2022.0</v>
      </c>
      <c r="B13" s="128" t="s">
        <v>432</v>
      </c>
      <c r="C13" s="129">
        <v>8.0</v>
      </c>
      <c r="D13" s="129">
        <v>1.0</v>
      </c>
      <c r="E13" s="129">
        <v>9.0</v>
      </c>
    </row>
    <row r="14">
      <c r="A14" s="127">
        <v>2022.0</v>
      </c>
      <c r="B14" s="128" t="s">
        <v>190</v>
      </c>
      <c r="C14" s="129">
        <v>0.0</v>
      </c>
      <c r="D14" s="129">
        <v>1.0</v>
      </c>
      <c r="E14" s="129">
        <v>1.0</v>
      </c>
    </row>
    <row r="15">
      <c r="A15" s="127">
        <v>2022.0</v>
      </c>
      <c r="B15" s="128" t="s">
        <v>94</v>
      </c>
      <c r="C15" s="129">
        <v>27.0</v>
      </c>
      <c r="D15" s="129">
        <v>10.0</v>
      </c>
      <c r="E15" s="129">
        <v>37.0</v>
      </c>
    </row>
    <row r="16">
      <c r="A16" s="127">
        <v>2022.0</v>
      </c>
      <c r="B16" s="128" t="s">
        <v>112</v>
      </c>
      <c r="C16" s="129">
        <v>12.0</v>
      </c>
      <c r="D16" s="129">
        <v>24.0</v>
      </c>
      <c r="E16" s="129">
        <v>36.0</v>
      </c>
    </row>
    <row r="17">
      <c r="A17" s="127">
        <v>2022.0</v>
      </c>
      <c r="B17" s="128" t="s">
        <v>97</v>
      </c>
      <c r="C17" s="129">
        <v>12.0</v>
      </c>
      <c r="D17" s="129">
        <v>2.0</v>
      </c>
      <c r="E17" s="129">
        <v>14.0</v>
      </c>
    </row>
    <row r="18">
      <c r="A18" s="127">
        <v>2022.0</v>
      </c>
      <c r="B18" s="128" t="s">
        <v>111</v>
      </c>
      <c r="C18" s="129">
        <v>0.0</v>
      </c>
      <c r="D18" s="129">
        <v>2.0</v>
      </c>
      <c r="E18" s="129">
        <v>2.0</v>
      </c>
    </row>
    <row r="19">
      <c r="A19" s="127">
        <v>2022.0</v>
      </c>
      <c r="B19" s="128" t="s">
        <v>96</v>
      </c>
      <c r="C19" s="129">
        <v>115.0</v>
      </c>
      <c r="D19" s="129">
        <v>0.0</v>
      </c>
      <c r="E19" s="129">
        <v>115.0</v>
      </c>
    </row>
    <row r="20">
      <c r="A20" s="127">
        <v>2022.0</v>
      </c>
      <c r="B20" s="128" t="s">
        <v>91</v>
      </c>
      <c r="C20" s="129">
        <v>85.0</v>
      </c>
      <c r="D20" s="129">
        <v>22.0</v>
      </c>
      <c r="E20" s="129">
        <v>107.0</v>
      </c>
    </row>
    <row r="21">
      <c r="A21" s="127">
        <v>2022.0</v>
      </c>
      <c r="B21" s="128" t="s">
        <v>118</v>
      </c>
      <c r="C21" s="129">
        <v>1.0</v>
      </c>
      <c r="D21" s="129">
        <v>0.0</v>
      </c>
      <c r="E21" s="129">
        <v>1.0</v>
      </c>
    </row>
    <row r="22">
      <c r="A22" s="127">
        <v>2022.0</v>
      </c>
      <c r="B22" s="128" t="s">
        <v>92</v>
      </c>
      <c r="C22" s="129">
        <v>9.0</v>
      </c>
      <c r="D22" s="129">
        <v>6.0</v>
      </c>
      <c r="E22" s="129">
        <v>15.0</v>
      </c>
    </row>
    <row r="23">
      <c r="A23" s="127">
        <v>2022.0</v>
      </c>
      <c r="B23" s="128" t="s">
        <v>133</v>
      </c>
      <c r="C23" s="129">
        <v>8.0</v>
      </c>
      <c r="D23" s="129">
        <v>0.0</v>
      </c>
      <c r="E23" s="129">
        <v>8.0</v>
      </c>
    </row>
    <row r="24">
      <c r="A24" s="127">
        <v>2022.0</v>
      </c>
      <c r="B24" s="128" t="s">
        <v>132</v>
      </c>
      <c r="C24" s="129">
        <v>34.0</v>
      </c>
      <c r="D24" s="129">
        <v>17.0</v>
      </c>
      <c r="E24" s="129">
        <v>51.0</v>
      </c>
    </row>
    <row r="25">
      <c r="A25" s="127">
        <v>2022.0</v>
      </c>
      <c r="B25" s="128" t="s">
        <v>101</v>
      </c>
      <c r="C25" s="129">
        <v>25.0</v>
      </c>
      <c r="D25" s="129">
        <v>26.0</v>
      </c>
      <c r="E25" s="129">
        <v>51.0</v>
      </c>
    </row>
    <row r="26">
      <c r="A26" s="127">
        <v>2022.0</v>
      </c>
      <c r="B26" s="128" t="s">
        <v>374</v>
      </c>
      <c r="C26" s="129">
        <v>4.0</v>
      </c>
      <c r="D26" s="129">
        <v>12.0</v>
      </c>
      <c r="E26" s="129">
        <v>16.0</v>
      </c>
    </row>
    <row r="27">
      <c r="A27" s="127">
        <v>2022.0</v>
      </c>
      <c r="B27" s="128" t="s">
        <v>360</v>
      </c>
      <c r="C27" s="129">
        <v>6.0</v>
      </c>
      <c r="D27" s="129">
        <v>0.0</v>
      </c>
      <c r="E27" s="129">
        <v>6.0</v>
      </c>
    </row>
    <row r="28">
      <c r="A28" s="127">
        <v>2022.0</v>
      </c>
      <c r="B28" s="128" t="s">
        <v>102</v>
      </c>
      <c r="C28" s="129">
        <v>27.0</v>
      </c>
      <c r="D28" s="129">
        <v>7.0</v>
      </c>
      <c r="E28" s="129">
        <v>34.0</v>
      </c>
    </row>
    <row r="29">
      <c r="A29" s="127">
        <v>2022.0</v>
      </c>
      <c r="B29" s="128" t="s">
        <v>270</v>
      </c>
      <c r="C29" s="129">
        <v>2.0</v>
      </c>
      <c r="D29" s="129">
        <v>1.0</v>
      </c>
      <c r="E29" s="129">
        <v>3.0</v>
      </c>
    </row>
    <row r="30">
      <c r="A30" s="127">
        <v>2022.0</v>
      </c>
      <c r="B30" s="128" t="s">
        <v>119</v>
      </c>
      <c r="C30" s="129">
        <v>1.0</v>
      </c>
      <c r="D30" s="129">
        <v>0.0</v>
      </c>
      <c r="E30" s="129">
        <v>1.0</v>
      </c>
    </row>
    <row r="31">
      <c r="A31" s="127">
        <v>2022.0</v>
      </c>
      <c r="B31" s="128" t="s">
        <v>110</v>
      </c>
      <c r="C31" s="129">
        <v>2.0</v>
      </c>
      <c r="D31" s="129">
        <v>0.0</v>
      </c>
      <c r="E31" s="129">
        <v>2.0</v>
      </c>
    </row>
    <row r="32">
      <c r="A32" s="127">
        <v>2022.0</v>
      </c>
      <c r="B32" s="128" t="s">
        <v>245</v>
      </c>
      <c r="C32" s="129">
        <v>9.0</v>
      </c>
      <c r="D32" s="129">
        <v>2.0</v>
      </c>
      <c r="E32" s="129">
        <v>11.0</v>
      </c>
    </row>
    <row r="33">
      <c r="A33" s="127">
        <v>2022.0</v>
      </c>
      <c r="B33" s="128" t="s">
        <v>453</v>
      </c>
      <c r="C33" s="129">
        <v>2.0</v>
      </c>
      <c r="D33" s="129">
        <v>0.0</v>
      </c>
      <c r="E33" s="129">
        <v>2.0</v>
      </c>
    </row>
    <row r="34">
      <c r="A34" s="127">
        <v>2022.0</v>
      </c>
      <c r="B34" s="128" t="s">
        <v>506</v>
      </c>
      <c r="C34" s="129">
        <v>24.0</v>
      </c>
      <c r="D34" s="129">
        <v>0.0</v>
      </c>
      <c r="E34" s="129">
        <v>24.0</v>
      </c>
    </row>
    <row r="35">
      <c r="A35" s="127">
        <v>2022.0</v>
      </c>
      <c r="B35" s="128" t="s">
        <v>107</v>
      </c>
      <c r="C35" s="129">
        <v>19.0</v>
      </c>
      <c r="D35" s="129">
        <v>6.0</v>
      </c>
      <c r="E35" s="129">
        <v>25.0</v>
      </c>
    </row>
    <row r="36">
      <c r="A36" s="127">
        <v>2022.0</v>
      </c>
      <c r="B36" s="128" t="s">
        <v>105</v>
      </c>
      <c r="C36" s="129">
        <v>11.0</v>
      </c>
      <c r="D36" s="129">
        <v>0.0</v>
      </c>
      <c r="E36" s="129">
        <v>11.0</v>
      </c>
    </row>
    <row r="37">
      <c r="A37" s="127">
        <v>2022.0</v>
      </c>
      <c r="B37" s="128" t="s">
        <v>131</v>
      </c>
      <c r="C37" s="129">
        <v>15.0</v>
      </c>
      <c r="D37" s="129">
        <v>0.0</v>
      </c>
      <c r="E37" s="129">
        <v>15.0</v>
      </c>
    </row>
    <row r="38">
      <c r="A38" s="127">
        <v>2022.0</v>
      </c>
      <c r="B38" s="128" t="s">
        <v>90</v>
      </c>
      <c r="C38" s="129">
        <v>3.0</v>
      </c>
      <c r="D38" s="129">
        <v>0.0</v>
      </c>
      <c r="E38" s="129">
        <v>3.0</v>
      </c>
    </row>
    <row r="39">
      <c r="A39" s="127">
        <v>2022.0</v>
      </c>
      <c r="B39" s="128" t="s">
        <v>483</v>
      </c>
      <c r="C39" s="129">
        <v>16.0</v>
      </c>
      <c r="D39" s="129">
        <v>0.0</v>
      </c>
      <c r="E39" s="129">
        <v>16.0</v>
      </c>
    </row>
    <row r="40">
      <c r="A40" s="127">
        <v>2022.0</v>
      </c>
      <c r="B40" s="128" t="s">
        <v>87</v>
      </c>
      <c r="C40" s="129">
        <v>250.0</v>
      </c>
      <c r="D40" s="129">
        <v>54.0</v>
      </c>
      <c r="E40" s="129">
        <v>304.0</v>
      </c>
    </row>
    <row r="41">
      <c r="A41" s="127">
        <v>2022.0</v>
      </c>
      <c r="B41" s="128" t="s">
        <v>214</v>
      </c>
      <c r="C41" s="129">
        <v>1.0</v>
      </c>
      <c r="D41" s="129">
        <v>0.0</v>
      </c>
      <c r="E41" s="129">
        <v>1.0</v>
      </c>
    </row>
    <row r="42">
      <c r="A42" s="127">
        <v>2022.0</v>
      </c>
      <c r="B42" s="128" t="s">
        <v>224</v>
      </c>
      <c r="C42" s="129">
        <v>1.0</v>
      </c>
      <c r="D42" s="129">
        <v>0.0</v>
      </c>
      <c r="E42" s="129">
        <v>1.0</v>
      </c>
    </row>
    <row r="43">
      <c r="A43" s="127">
        <v>2022.0</v>
      </c>
      <c r="B43" s="128" t="s">
        <v>228</v>
      </c>
      <c r="C43" s="129">
        <v>27.0</v>
      </c>
      <c r="D43" s="129">
        <v>0.0</v>
      </c>
      <c r="E43" s="129">
        <v>27.0</v>
      </c>
    </row>
    <row r="44">
      <c r="A44" s="127">
        <v>2022.0</v>
      </c>
      <c r="B44" s="128" t="s">
        <v>507</v>
      </c>
      <c r="C44" s="129">
        <v>12.0</v>
      </c>
      <c r="D44" s="129">
        <v>11.0</v>
      </c>
      <c r="E44" s="129">
        <v>23.0</v>
      </c>
    </row>
    <row r="45">
      <c r="A45" s="127">
        <v>2022.0</v>
      </c>
      <c r="B45" s="128" t="s">
        <v>98</v>
      </c>
      <c r="C45" s="129">
        <v>15.0</v>
      </c>
      <c r="D45" s="129">
        <v>0.0</v>
      </c>
      <c r="E45" s="129">
        <v>15.0</v>
      </c>
    </row>
    <row r="46">
      <c r="A46" s="127">
        <v>2022.0</v>
      </c>
      <c r="B46" s="128" t="s">
        <v>508</v>
      </c>
      <c r="C46" s="129">
        <v>25.0</v>
      </c>
      <c r="D46" s="129">
        <v>22.0</v>
      </c>
      <c r="E46" s="129">
        <v>47.0</v>
      </c>
    </row>
    <row r="47">
      <c r="A47" s="127">
        <v>2022.0</v>
      </c>
      <c r="B47" s="128" t="s">
        <v>93</v>
      </c>
      <c r="C47" s="129">
        <v>42.0</v>
      </c>
      <c r="D47" s="129">
        <v>3.0</v>
      </c>
      <c r="E47" s="129">
        <v>45.0</v>
      </c>
    </row>
    <row r="48">
      <c r="A48" s="127">
        <v>2022.0</v>
      </c>
      <c r="B48" s="128" t="s">
        <v>509</v>
      </c>
      <c r="C48" s="129">
        <v>30.0</v>
      </c>
      <c r="D48" s="129">
        <v>16.0</v>
      </c>
      <c r="E48" s="129">
        <v>46.0</v>
      </c>
    </row>
    <row r="49">
      <c r="A49" s="130"/>
      <c r="B49" s="131" t="s">
        <v>510</v>
      </c>
      <c r="C49" s="132">
        <v>967.0</v>
      </c>
      <c r="D49" s="132">
        <v>251.0</v>
      </c>
      <c r="E49" s="132">
        <v>1218.0</v>
      </c>
    </row>
    <row r="50">
      <c r="A50" s="130"/>
    </row>
    <row r="51">
      <c r="A51" s="130"/>
    </row>
    <row r="52">
      <c r="A52" s="130"/>
    </row>
    <row r="53">
      <c r="A53" s="130"/>
    </row>
    <row r="54">
      <c r="A54" s="130"/>
    </row>
    <row r="55">
      <c r="A55" s="130"/>
    </row>
    <row r="56">
      <c r="A56" s="130"/>
    </row>
    <row r="57">
      <c r="A57" s="130"/>
    </row>
    <row r="58">
      <c r="A58" s="130"/>
    </row>
    <row r="59">
      <c r="A59" s="130"/>
    </row>
    <row r="60">
      <c r="A60" s="130"/>
    </row>
    <row r="61">
      <c r="A61" s="130"/>
    </row>
    <row r="62">
      <c r="A62" s="130"/>
    </row>
    <row r="63">
      <c r="A63" s="130"/>
    </row>
    <row r="64">
      <c r="A64" s="130"/>
    </row>
    <row r="65">
      <c r="A65" s="130"/>
    </row>
    <row r="66">
      <c r="A66" s="130"/>
    </row>
    <row r="67">
      <c r="A67" s="130"/>
    </row>
    <row r="68">
      <c r="A68" s="130"/>
    </row>
    <row r="69">
      <c r="A69" s="130"/>
    </row>
    <row r="70">
      <c r="A70" s="130"/>
    </row>
    <row r="71">
      <c r="A71" s="130"/>
    </row>
    <row r="72">
      <c r="A72" s="130"/>
    </row>
    <row r="73">
      <c r="A73" s="130"/>
    </row>
    <row r="74">
      <c r="A74" s="130"/>
    </row>
    <row r="75">
      <c r="A75" s="130"/>
    </row>
    <row r="76">
      <c r="A76" s="130"/>
    </row>
    <row r="77">
      <c r="A77" s="130"/>
    </row>
    <row r="78">
      <c r="A78" s="130"/>
    </row>
    <row r="79">
      <c r="A79" s="130"/>
    </row>
    <row r="80">
      <c r="A80" s="130"/>
    </row>
    <row r="81">
      <c r="A81" s="130"/>
    </row>
    <row r="82">
      <c r="A82" s="130"/>
    </row>
    <row r="83">
      <c r="A83" s="130"/>
    </row>
    <row r="84">
      <c r="A84" s="130"/>
    </row>
    <row r="85">
      <c r="A85" s="130"/>
    </row>
    <row r="86">
      <c r="A86" s="130"/>
    </row>
    <row r="87">
      <c r="A87" s="130"/>
    </row>
    <row r="88">
      <c r="A88" s="130"/>
    </row>
    <row r="89">
      <c r="A89" s="130"/>
    </row>
    <row r="90">
      <c r="A90" s="130"/>
    </row>
    <row r="91">
      <c r="A91" s="130"/>
    </row>
    <row r="92">
      <c r="A92" s="130"/>
    </row>
    <row r="93">
      <c r="A93" s="130"/>
    </row>
    <row r="94">
      <c r="A94" s="130"/>
    </row>
    <row r="95">
      <c r="A95" s="130"/>
    </row>
    <row r="96">
      <c r="A96" s="130"/>
    </row>
    <row r="97">
      <c r="A97" s="130"/>
    </row>
    <row r="98">
      <c r="A98" s="130"/>
    </row>
    <row r="99">
      <c r="A99" s="130"/>
    </row>
    <row r="100">
      <c r="A100" s="130"/>
    </row>
    <row r="101">
      <c r="A101" s="130"/>
    </row>
    <row r="102">
      <c r="A102" s="130"/>
    </row>
    <row r="103">
      <c r="A103" s="130"/>
    </row>
    <row r="104">
      <c r="A104" s="130"/>
    </row>
    <row r="105">
      <c r="A105" s="130"/>
    </row>
    <row r="106">
      <c r="A106" s="130"/>
    </row>
    <row r="107">
      <c r="A107" s="130"/>
    </row>
    <row r="108">
      <c r="A108" s="130"/>
    </row>
    <row r="109">
      <c r="A109" s="130"/>
    </row>
    <row r="110">
      <c r="A110" s="130"/>
    </row>
    <row r="111">
      <c r="A111" s="130"/>
    </row>
    <row r="112">
      <c r="A112" s="130"/>
    </row>
    <row r="113">
      <c r="A113" s="130"/>
    </row>
    <row r="114">
      <c r="A114" s="130"/>
    </row>
    <row r="115">
      <c r="A115" s="130"/>
    </row>
    <row r="116">
      <c r="A116" s="130"/>
    </row>
    <row r="117">
      <c r="A117" s="130"/>
    </row>
    <row r="118">
      <c r="A118" s="130"/>
    </row>
    <row r="119">
      <c r="A119" s="130"/>
    </row>
    <row r="120">
      <c r="A120" s="130"/>
    </row>
    <row r="121">
      <c r="A121" s="130"/>
    </row>
    <row r="122">
      <c r="A122" s="130"/>
    </row>
    <row r="123">
      <c r="A123" s="130"/>
    </row>
    <row r="124">
      <c r="A124" s="130"/>
    </row>
    <row r="125">
      <c r="A125" s="130"/>
    </row>
    <row r="126">
      <c r="A126" s="130"/>
    </row>
    <row r="127">
      <c r="A127" s="130"/>
    </row>
    <row r="128">
      <c r="A128" s="130"/>
    </row>
    <row r="129">
      <c r="A129" s="130"/>
    </row>
    <row r="130">
      <c r="A130" s="130"/>
    </row>
    <row r="131">
      <c r="A131" s="130"/>
    </row>
    <row r="132">
      <c r="A132" s="130"/>
    </row>
    <row r="133">
      <c r="A133" s="130"/>
    </row>
    <row r="134">
      <c r="A134" s="130"/>
    </row>
    <row r="135">
      <c r="A135" s="130"/>
    </row>
    <row r="136">
      <c r="A136" s="130"/>
    </row>
    <row r="137">
      <c r="A137" s="130"/>
    </row>
    <row r="138">
      <c r="A138" s="130"/>
    </row>
    <row r="139">
      <c r="A139" s="130"/>
    </row>
    <row r="140">
      <c r="A140" s="130"/>
    </row>
    <row r="141">
      <c r="A141" s="130"/>
    </row>
    <row r="142">
      <c r="A142" s="130"/>
    </row>
    <row r="143">
      <c r="A143" s="130"/>
    </row>
    <row r="144">
      <c r="A144" s="130"/>
    </row>
    <row r="145">
      <c r="A145" s="130"/>
    </row>
    <row r="146">
      <c r="A146" s="130"/>
    </row>
    <row r="147">
      <c r="A147" s="130"/>
    </row>
    <row r="148">
      <c r="A148" s="130"/>
    </row>
    <row r="149">
      <c r="A149" s="130"/>
    </row>
    <row r="150">
      <c r="A150" s="130"/>
    </row>
    <row r="151">
      <c r="A151" s="130"/>
    </row>
    <row r="152">
      <c r="A152" s="130"/>
    </row>
    <row r="153">
      <c r="A153" s="130"/>
    </row>
    <row r="154">
      <c r="A154" s="130"/>
    </row>
    <row r="155">
      <c r="A155" s="130"/>
    </row>
    <row r="156">
      <c r="A156" s="130"/>
    </row>
    <row r="157">
      <c r="A157" s="130"/>
    </row>
    <row r="158">
      <c r="A158" s="130"/>
    </row>
    <row r="159">
      <c r="A159" s="130"/>
    </row>
    <row r="160">
      <c r="A160" s="130"/>
    </row>
    <row r="161">
      <c r="A161" s="130"/>
    </row>
    <row r="162">
      <c r="A162" s="130"/>
    </row>
    <row r="163">
      <c r="A163" s="130"/>
    </row>
    <row r="164">
      <c r="A164" s="130"/>
    </row>
    <row r="165">
      <c r="A165" s="130"/>
    </row>
    <row r="166">
      <c r="A166" s="130"/>
    </row>
    <row r="167">
      <c r="A167" s="130"/>
    </row>
    <row r="168">
      <c r="A168" s="130"/>
    </row>
    <row r="169">
      <c r="A169" s="130"/>
    </row>
    <row r="170">
      <c r="A170" s="130"/>
    </row>
    <row r="171">
      <c r="A171" s="130"/>
    </row>
    <row r="172">
      <c r="A172" s="130"/>
    </row>
    <row r="173">
      <c r="A173" s="130"/>
    </row>
    <row r="174">
      <c r="A174" s="130"/>
    </row>
    <row r="175">
      <c r="A175" s="130"/>
    </row>
    <row r="176">
      <c r="A176" s="130"/>
    </row>
    <row r="177">
      <c r="A177" s="130"/>
    </row>
    <row r="178">
      <c r="A178" s="130"/>
    </row>
    <row r="179">
      <c r="A179" s="130"/>
    </row>
    <row r="180">
      <c r="A180" s="130"/>
    </row>
    <row r="181">
      <c r="A181" s="130"/>
    </row>
    <row r="182">
      <c r="A182" s="130"/>
    </row>
    <row r="183">
      <c r="A183" s="130"/>
    </row>
    <row r="184">
      <c r="A184" s="130"/>
    </row>
    <row r="185">
      <c r="A185" s="130"/>
    </row>
    <row r="186">
      <c r="A186" s="130"/>
    </row>
    <row r="187">
      <c r="A187" s="130"/>
    </row>
    <row r="188">
      <c r="A188" s="130"/>
    </row>
    <row r="189">
      <c r="A189" s="130"/>
    </row>
    <row r="190">
      <c r="A190" s="130"/>
    </row>
    <row r="191">
      <c r="A191" s="130"/>
    </row>
    <row r="192">
      <c r="A192" s="130"/>
    </row>
    <row r="193">
      <c r="A193" s="130"/>
    </row>
    <row r="194">
      <c r="A194" s="130"/>
    </row>
    <row r="195">
      <c r="A195" s="130"/>
    </row>
    <row r="196">
      <c r="A196" s="130"/>
    </row>
    <row r="197">
      <c r="A197" s="130"/>
    </row>
    <row r="198">
      <c r="A198" s="130"/>
    </row>
    <row r="199">
      <c r="A199" s="130"/>
    </row>
    <row r="200">
      <c r="A200" s="130"/>
    </row>
    <row r="201">
      <c r="A201" s="130"/>
    </row>
    <row r="202">
      <c r="A202" s="130"/>
    </row>
    <row r="203">
      <c r="A203" s="130"/>
    </row>
    <row r="204">
      <c r="A204" s="130"/>
    </row>
    <row r="205">
      <c r="A205" s="130"/>
    </row>
    <row r="206">
      <c r="A206" s="130"/>
    </row>
    <row r="207">
      <c r="A207" s="130"/>
    </row>
    <row r="208">
      <c r="A208" s="130"/>
    </row>
    <row r="209">
      <c r="A209" s="130"/>
    </row>
    <row r="210">
      <c r="A210" s="130"/>
    </row>
    <row r="211">
      <c r="A211" s="130"/>
    </row>
    <row r="212">
      <c r="A212" s="130"/>
    </row>
    <row r="213">
      <c r="A213" s="130"/>
    </row>
    <row r="214">
      <c r="A214" s="130"/>
    </row>
    <row r="215">
      <c r="A215" s="130"/>
    </row>
    <row r="216">
      <c r="A216" s="130"/>
    </row>
    <row r="217">
      <c r="A217" s="130"/>
    </row>
    <row r="218">
      <c r="A218" s="130"/>
    </row>
    <row r="219">
      <c r="A219" s="130"/>
    </row>
    <row r="220">
      <c r="A220" s="130"/>
    </row>
    <row r="221">
      <c r="A221" s="130"/>
    </row>
    <row r="222">
      <c r="A222" s="130"/>
    </row>
    <row r="223">
      <c r="A223" s="130"/>
    </row>
    <row r="224">
      <c r="A224" s="130"/>
    </row>
    <row r="225">
      <c r="A225" s="130"/>
    </row>
    <row r="226">
      <c r="A226" s="130"/>
    </row>
    <row r="227">
      <c r="A227" s="130"/>
    </row>
    <row r="228">
      <c r="A228" s="130"/>
    </row>
    <row r="229">
      <c r="A229" s="130"/>
    </row>
    <row r="230">
      <c r="A230" s="130"/>
    </row>
    <row r="231">
      <c r="A231" s="130"/>
    </row>
    <row r="232">
      <c r="A232" s="130"/>
    </row>
    <row r="233">
      <c r="A233" s="130"/>
    </row>
    <row r="234">
      <c r="A234" s="130"/>
    </row>
    <row r="235">
      <c r="A235" s="130"/>
    </row>
    <row r="236">
      <c r="A236" s="130"/>
    </row>
    <row r="237">
      <c r="A237" s="130"/>
    </row>
    <row r="238">
      <c r="A238" s="130"/>
    </row>
    <row r="239">
      <c r="A239" s="130"/>
    </row>
    <row r="240">
      <c r="A240" s="130"/>
    </row>
    <row r="241">
      <c r="A241" s="130"/>
    </row>
    <row r="242">
      <c r="A242" s="130"/>
    </row>
    <row r="243">
      <c r="A243" s="130"/>
    </row>
    <row r="244">
      <c r="A244" s="130"/>
    </row>
    <row r="245">
      <c r="A245" s="130"/>
    </row>
    <row r="246">
      <c r="A246" s="130"/>
    </row>
    <row r="247">
      <c r="A247" s="130"/>
    </row>
    <row r="248">
      <c r="A248" s="130"/>
    </row>
    <row r="249">
      <c r="A249" s="130"/>
    </row>
    <row r="250">
      <c r="A250" s="130"/>
    </row>
    <row r="251">
      <c r="A251" s="130"/>
    </row>
    <row r="252">
      <c r="A252" s="130"/>
    </row>
    <row r="253">
      <c r="A253" s="130"/>
    </row>
    <row r="254">
      <c r="A254" s="130"/>
    </row>
    <row r="255">
      <c r="A255" s="130"/>
    </row>
    <row r="256">
      <c r="A256" s="130"/>
    </row>
    <row r="257">
      <c r="A257" s="130"/>
    </row>
    <row r="258">
      <c r="A258" s="130"/>
    </row>
    <row r="259">
      <c r="A259" s="130"/>
    </row>
    <row r="260">
      <c r="A260" s="130"/>
    </row>
    <row r="261">
      <c r="A261" s="130"/>
    </row>
    <row r="262">
      <c r="A262" s="130"/>
    </row>
    <row r="263">
      <c r="A263" s="130"/>
    </row>
    <row r="264">
      <c r="A264" s="130"/>
    </row>
    <row r="265">
      <c r="A265" s="130"/>
    </row>
    <row r="266">
      <c r="A266" s="130"/>
    </row>
    <row r="267">
      <c r="A267" s="130"/>
    </row>
    <row r="268">
      <c r="A268" s="130"/>
    </row>
    <row r="269">
      <c r="A269" s="130"/>
    </row>
    <row r="270">
      <c r="A270" s="130"/>
    </row>
    <row r="271">
      <c r="A271" s="130"/>
    </row>
    <row r="272">
      <c r="A272" s="130"/>
    </row>
    <row r="273">
      <c r="A273" s="130"/>
    </row>
    <row r="274">
      <c r="A274" s="130"/>
    </row>
    <row r="275">
      <c r="A275" s="130"/>
    </row>
    <row r="276">
      <c r="A276" s="130"/>
    </row>
    <row r="277">
      <c r="A277" s="130"/>
    </row>
    <row r="278">
      <c r="A278" s="130"/>
    </row>
    <row r="279">
      <c r="A279" s="130"/>
    </row>
    <row r="280">
      <c r="A280" s="130"/>
    </row>
    <row r="281">
      <c r="A281" s="130"/>
    </row>
    <row r="282">
      <c r="A282" s="130"/>
    </row>
    <row r="283">
      <c r="A283" s="130"/>
    </row>
    <row r="284">
      <c r="A284" s="130"/>
    </row>
    <row r="285">
      <c r="A285" s="130"/>
    </row>
    <row r="286">
      <c r="A286" s="130"/>
    </row>
    <row r="287">
      <c r="A287" s="130"/>
    </row>
    <row r="288">
      <c r="A288" s="130"/>
    </row>
    <row r="289">
      <c r="A289" s="130"/>
    </row>
    <row r="290">
      <c r="A290" s="130"/>
    </row>
    <row r="291">
      <c r="A291" s="130"/>
    </row>
    <row r="292">
      <c r="A292" s="130"/>
    </row>
    <row r="293">
      <c r="A293" s="130"/>
    </row>
    <row r="294">
      <c r="A294" s="130"/>
    </row>
    <row r="295">
      <c r="A295" s="130"/>
    </row>
    <row r="296">
      <c r="A296" s="130"/>
    </row>
    <row r="297">
      <c r="A297" s="130"/>
    </row>
    <row r="298">
      <c r="A298" s="130"/>
    </row>
    <row r="299">
      <c r="A299" s="130"/>
    </row>
    <row r="300">
      <c r="A300" s="130"/>
    </row>
    <row r="301">
      <c r="A301" s="130"/>
    </row>
    <row r="302">
      <c r="A302" s="130"/>
    </row>
    <row r="303">
      <c r="A303" s="130"/>
    </row>
    <row r="304">
      <c r="A304" s="130"/>
    </row>
    <row r="305">
      <c r="A305" s="130"/>
    </row>
    <row r="306">
      <c r="A306" s="130"/>
    </row>
    <row r="307">
      <c r="A307" s="130"/>
    </row>
    <row r="308">
      <c r="A308" s="130"/>
    </row>
    <row r="309">
      <c r="A309" s="130"/>
    </row>
    <row r="310">
      <c r="A310" s="130"/>
    </row>
    <row r="311">
      <c r="A311" s="130"/>
    </row>
    <row r="312">
      <c r="A312" s="130"/>
    </row>
    <row r="313">
      <c r="A313" s="130"/>
    </row>
    <row r="314">
      <c r="A314" s="130"/>
    </row>
    <row r="315">
      <c r="A315" s="130"/>
    </row>
    <row r="316">
      <c r="A316" s="130"/>
    </row>
    <row r="317">
      <c r="A317" s="130"/>
    </row>
    <row r="318">
      <c r="A318" s="130"/>
    </row>
    <row r="319">
      <c r="A319" s="130"/>
    </row>
    <row r="320">
      <c r="A320" s="130"/>
    </row>
    <row r="321">
      <c r="A321" s="130"/>
    </row>
    <row r="322">
      <c r="A322" s="130"/>
    </row>
    <row r="323">
      <c r="A323" s="130"/>
    </row>
    <row r="324">
      <c r="A324" s="130"/>
    </row>
    <row r="325">
      <c r="A325" s="130"/>
    </row>
    <row r="326">
      <c r="A326" s="130"/>
    </row>
    <row r="327">
      <c r="A327" s="130"/>
    </row>
    <row r="328">
      <c r="A328" s="130"/>
    </row>
    <row r="329">
      <c r="A329" s="130"/>
    </row>
    <row r="330">
      <c r="A330" s="130"/>
    </row>
    <row r="331">
      <c r="A331" s="130"/>
    </row>
    <row r="332">
      <c r="A332" s="130"/>
    </row>
    <row r="333">
      <c r="A333" s="130"/>
    </row>
    <row r="334">
      <c r="A334" s="130"/>
    </row>
    <row r="335">
      <c r="A335" s="130"/>
    </row>
    <row r="336">
      <c r="A336" s="130"/>
    </row>
    <row r="337">
      <c r="A337" s="130"/>
    </row>
    <row r="338">
      <c r="A338" s="130"/>
    </row>
    <row r="339">
      <c r="A339" s="130"/>
    </row>
    <row r="340">
      <c r="A340" s="130"/>
    </row>
    <row r="341">
      <c r="A341" s="130"/>
    </row>
    <row r="342">
      <c r="A342" s="130"/>
    </row>
    <row r="343">
      <c r="A343" s="130"/>
    </row>
    <row r="344">
      <c r="A344" s="130"/>
    </row>
    <row r="345">
      <c r="A345" s="130"/>
    </row>
    <row r="346">
      <c r="A346" s="130"/>
    </row>
    <row r="347">
      <c r="A347" s="130"/>
    </row>
    <row r="348">
      <c r="A348" s="130"/>
    </row>
    <row r="349">
      <c r="A349" s="130"/>
    </row>
    <row r="350">
      <c r="A350" s="130"/>
    </row>
    <row r="351">
      <c r="A351" s="130"/>
    </row>
    <row r="352">
      <c r="A352" s="130"/>
    </row>
    <row r="353">
      <c r="A353" s="130"/>
    </row>
    <row r="354">
      <c r="A354" s="130"/>
    </row>
    <row r="355">
      <c r="A355" s="130"/>
    </row>
    <row r="356">
      <c r="A356" s="130"/>
    </row>
    <row r="357">
      <c r="A357" s="130"/>
    </row>
    <row r="358">
      <c r="A358" s="130"/>
    </row>
    <row r="359">
      <c r="A359" s="130"/>
    </row>
    <row r="360">
      <c r="A360" s="130"/>
    </row>
    <row r="361">
      <c r="A361" s="130"/>
    </row>
    <row r="362">
      <c r="A362" s="130"/>
    </row>
    <row r="363">
      <c r="A363" s="130"/>
    </row>
    <row r="364">
      <c r="A364" s="130"/>
    </row>
    <row r="365">
      <c r="A365" s="130"/>
    </row>
    <row r="366">
      <c r="A366" s="130"/>
    </row>
    <row r="367">
      <c r="A367" s="130"/>
    </row>
    <row r="368">
      <c r="A368" s="130"/>
    </row>
    <row r="369">
      <c r="A369" s="130"/>
    </row>
    <row r="370">
      <c r="A370" s="130"/>
    </row>
    <row r="371">
      <c r="A371" s="130"/>
    </row>
    <row r="372">
      <c r="A372" s="130"/>
    </row>
    <row r="373">
      <c r="A373" s="130"/>
    </row>
    <row r="374">
      <c r="A374" s="130"/>
    </row>
    <row r="375">
      <c r="A375" s="130"/>
    </row>
    <row r="376">
      <c r="A376" s="130"/>
    </row>
    <row r="377">
      <c r="A377" s="130"/>
    </row>
    <row r="378">
      <c r="A378" s="130"/>
    </row>
    <row r="379">
      <c r="A379" s="130"/>
    </row>
    <row r="380">
      <c r="A380" s="130"/>
    </row>
    <row r="381">
      <c r="A381" s="130"/>
    </row>
    <row r="382">
      <c r="A382" s="130"/>
    </row>
    <row r="383">
      <c r="A383" s="130"/>
    </row>
    <row r="384">
      <c r="A384" s="130"/>
    </row>
    <row r="385">
      <c r="A385" s="130"/>
    </row>
    <row r="386">
      <c r="A386" s="130"/>
    </row>
    <row r="387">
      <c r="A387" s="130"/>
    </row>
    <row r="388">
      <c r="A388" s="130"/>
    </row>
    <row r="389">
      <c r="A389" s="130"/>
    </row>
    <row r="390">
      <c r="A390" s="130"/>
    </row>
    <row r="391">
      <c r="A391" s="130"/>
    </row>
    <row r="392">
      <c r="A392" s="130"/>
    </row>
    <row r="393">
      <c r="A393" s="130"/>
    </row>
    <row r="394">
      <c r="A394" s="130"/>
    </row>
    <row r="395">
      <c r="A395" s="130"/>
    </row>
    <row r="396">
      <c r="A396" s="130"/>
    </row>
    <row r="397">
      <c r="A397" s="130"/>
    </row>
    <row r="398">
      <c r="A398" s="130"/>
    </row>
    <row r="399">
      <c r="A399" s="130"/>
    </row>
    <row r="400">
      <c r="A400" s="130"/>
    </row>
    <row r="401">
      <c r="A401" s="130"/>
    </row>
    <row r="402">
      <c r="A402" s="130"/>
    </row>
    <row r="403">
      <c r="A403" s="130"/>
    </row>
    <row r="404">
      <c r="A404" s="130"/>
    </row>
    <row r="405">
      <c r="A405" s="130"/>
    </row>
    <row r="406">
      <c r="A406" s="130"/>
    </row>
    <row r="407">
      <c r="A407" s="130"/>
    </row>
    <row r="408">
      <c r="A408" s="130"/>
    </row>
    <row r="409">
      <c r="A409" s="130"/>
    </row>
    <row r="410">
      <c r="A410" s="130"/>
    </row>
    <row r="411">
      <c r="A411" s="130"/>
    </row>
    <row r="412">
      <c r="A412" s="130"/>
    </row>
    <row r="413">
      <c r="A413" s="130"/>
    </row>
    <row r="414">
      <c r="A414" s="130"/>
    </row>
    <row r="415">
      <c r="A415" s="130"/>
    </row>
    <row r="416">
      <c r="A416" s="130"/>
    </row>
    <row r="417">
      <c r="A417" s="130"/>
    </row>
    <row r="418">
      <c r="A418" s="130"/>
    </row>
    <row r="419">
      <c r="A419" s="130"/>
    </row>
    <row r="420">
      <c r="A420" s="130"/>
    </row>
    <row r="421">
      <c r="A421" s="130"/>
    </row>
    <row r="422">
      <c r="A422" s="130"/>
    </row>
    <row r="423">
      <c r="A423" s="130"/>
    </row>
    <row r="424">
      <c r="A424" s="130"/>
    </row>
    <row r="425">
      <c r="A425" s="130"/>
    </row>
    <row r="426">
      <c r="A426" s="130"/>
    </row>
    <row r="427">
      <c r="A427" s="130"/>
    </row>
    <row r="428">
      <c r="A428" s="130"/>
    </row>
    <row r="429">
      <c r="A429" s="130"/>
    </row>
    <row r="430">
      <c r="A430" s="130"/>
    </row>
    <row r="431">
      <c r="A431" s="130"/>
    </row>
    <row r="432">
      <c r="A432" s="130"/>
    </row>
    <row r="433">
      <c r="A433" s="130"/>
    </row>
    <row r="434">
      <c r="A434" s="130"/>
    </row>
    <row r="435">
      <c r="A435" s="130"/>
    </row>
    <row r="436">
      <c r="A436" s="130"/>
    </row>
    <row r="437">
      <c r="A437" s="130"/>
    </row>
    <row r="438">
      <c r="A438" s="130"/>
    </row>
    <row r="439">
      <c r="A439" s="130"/>
    </row>
    <row r="440">
      <c r="A440" s="130"/>
    </row>
    <row r="441">
      <c r="A441" s="130"/>
    </row>
    <row r="442">
      <c r="A442" s="130"/>
    </row>
    <row r="443">
      <c r="A443" s="130"/>
    </row>
    <row r="444">
      <c r="A444" s="130"/>
    </row>
    <row r="445">
      <c r="A445" s="130"/>
    </row>
    <row r="446">
      <c r="A446" s="130"/>
    </row>
    <row r="447">
      <c r="A447" s="130"/>
    </row>
    <row r="448">
      <c r="A448" s="130"/>
    </row>
    <row r="449">
      <c r="A449" s="130"/>
    </row>
    <row r="450">
      <c r="A450" s="130"/>
    </row>
    <row r="451">
      <c r="A451" s="130"/>
    </row>
    <row r="452">
      <c r="A452" s="130"/>
    </row>
    <row r="453">
      <c r="A453" s="130"/>
    </row>
    <row r="454">
      <c r="A454" s="130"/>
    </row>
    <row r="455">
      <c r="A455" s="130"/>
    </row>
    <row r="456">
      <c r="A456" s="130"/>
    </row>
    <row r="457">
      <c r="A457" s="130"/>
    </row>
    <row r="458">
      <c r="A458" s="130"/>
    </row>
    <row r="459">
      <c r="A459" s="130"/>
    </row>
    <row r="460">
      <c r="A460" s="130"/>
    </row>
    <row r="461">
      <c r="A461" s="130"/>
    </row>
    <row r="462">
      <c r="A462" s="130"/>
    </row>
    <row r="463">
      <c r="A463" s="130"/>
    </row>
    <row r="464">
      <c r="A464" s="130"/>
    </row>
    <row r="465">
      <c r="A465" s="130"/>
    </row>
    <row r="466">
      <c r="A466" s="130"/>
    </row>
    <row r="467">
      <c r="A467" s="130"/>
    </row>
    <row r="468">
      <c r="A468" s="130"/>
    </row>
    <row r="469">
      <c r="A469" s="130"/>
    </row>
    <row r="470">
      <c r="A470" s="130"/>
    </row>
    <row r="471">
      <c r="A471" s="130"/>
    </row>
    <row r="472">
      <c r="A472" s="130"/>
    </row>
    <row r="473">
      <c r="A473" s="130"/>
    </row>
    <row r="474">
      <c r="A474" s="130"/>
    </row>
    <row r="475">
      <c r="A475" s="130"/>
    </row>
    <row r="476">
      <c r="A476" s="130"/>
    </row>
    <row r="477">
      <c r="A477" s="130"/>
    </row>
    <row r="478">
      <c r="A478" s="130"/>
    </row>
    <row r="479">
      <c r="A479" s="130"/>
    </row>
    <row r="480">
      <c r="A480" s="130"/>
    </row>
    <row r="481">
      <c r="A481" s="130"/>
    </row>
    <row r="482">
      <c r="A482" s="130"/>
    </row>
    <row r="483">
      <c r="A483" s="130"/>
    </row>
    <row r="484">
      <c r="A484" s="130"/>
    </row>
    <row r="485">
      <c r="A485" s="130"/>
    </row>
    <row r="486">
      <c r="A486" s="130"/>
    </row>
    <row r="487">
      <c r="A487" s="130"/>
    </row>
    <row r="488">
      <c r="A488" s="130"/>
    </row>
    <row r="489">
      <c r="A489" s="130"/>
    </row>
    <row r="490">
      <c r="A490" s="130"/>
    </row>
    <row r="491">
      <c r="A491" s="130"/>
    </row>
    <row r="492">
      <c r="A492" s="130"/>
    </row>
    <row r="493">
      <c r="A493" s="130"/>
    </row>
    <row r="494">
      <c r="A494" s="130"/>
    </row>
    <row r="495">
      <c r="A495" s="130"/>
    </row>
    <row r="496">
      <c r="A496" s="130"/>
    </row>
    <row r="497">
      <c r="A497" s="130"/>
    </row>
    <row r="498">
      <c r="A498" s="130"/>
    </row>
    <row r="499">
      <c r="A499" s="130"/>
    </row>
    <row r="500">
      <c r="A500" s="130"/>
    </row>
    <row r="501">
      <c r="A501" s="130"/>
    </row>
    <row r="502">
      <c r="A502" s="130"/>
    </row>
    <row r="503">
      <c r="A503" s="130"/>
    </row>
    <row r="504">
      <c r="A504" s="130"/>
    </row>
    <row r="505">
      <c r="A505" s="130"/>
    </row>
    <row r="506">
      <c r="A506" s="130"/>
    </row>
    <row r="507">
      <c r="A507" s="130"/>
    </row>
    <row r="508">
      <c r="A508" s="130"/>
    </row>
    <row r="509">
      <c r="A509" s="130"/>
    </row>
    <row r="510">
      <c r="A510" s="130"/>
    </row>
    <row r="511">
      <c r="A511" s="130"/>
    </row>
    <row r="512">
      <c r="A512" s="130"/>
    </row>
    <row r="513">
      <c r="A513" s="130"/>
    </row>
    <row r="514">
      <c r="A514" s="130"/>
    </row>
    <row r="515">
      <c r="A515" s="130"/>
    </row>
    <row r="516">
      <c r="A516" s="130"/>
    </row>
    <row r="517">
      <c r="A517" s="130"/>
    </row>
    <row r="518">
      <c r="A518" s="130"/>
    </row>
    <row r="519">
      <c r="A519" s="130"/>
    </row>
    <row r="520">
      <c r="A520" s="130"/>
    </row>
    <row r="521">
      <c r="A521" s="130"/>
    </row>
    <row r="522">
      <c r="A522" s="130"/>
    </row>
    <row r="523">
      <c r="A523" s="130"/>
    </row>
    <row r="524">
      <c r="A524" s="130"/>
    </row>
    <row r="525">
      <c r="A525" s="130"/>
    </row>
    <row r="526">
      <c r="A526" s="130"/>
    </row>
    <row r="527">
      <c r="A527" s="130"/>
    </row>
    <row r="528">
      <c r="A528" s="130"/>
    </row>
    <row r="529">
      <c r="A529" s="130"/>
    </row>
    <row r="530">
      <c r="A530" s="130"/>
    </row>
    <row r="531">
      <c r="A531" s="130"/>
    </row>
    <row r="532">
      <c r="A532" s="130"/>
    </row>
    <row r="533">
      <c r="A533" s="130"/>
    </row>
    <row r="534">
      <c r="A534" s="130"/>
    </row>
    <row r="535">
      <c r="A535" s="130"/>
    </row>
    <row r="536">
      <c r="A536" s="130"/>
    </row>
    <row r="537">
      <c r="A537" s="130"/>
    </row>
    <row r="538">
      <c r="A538" s="130"/>
    </row>
    <row r="539">
      <c r="A539" s="130"/>
    </row>
    <row r="540">
      <c r="A540" s="130"/>
    </row>
    <row r="541">
      <c r="A541" s="130"/>
    </row>
    <row r="542">
      <c r="A542" s="130"/>
    </row>
    <row r="543">
      <c r="A543" s="130"/>
    </row>
    <row r="544">
      <c r="A544" s="130"/>
    </row>
    <row r="545">
      <c r="A545" s="130"/>
    </row>
    <row r="546">
      <c r="A546" s="130"/>
    </row>
    <row r="547">
      <c r="A547" s="130"/>
    </row>
    <row r="548">
      <c r="A548" s="130"/>
    </row>
    <row r="549">
      <c r="A549" s="130"/>
    </row>
    <row r="550">
      <c r="A550" s="130"/>
    </row>
    <row r="551">
      <c r="A551" s="130"/>
    </row>
    <row r="552">
      <c r="A552" s="130"/>
    </row>
    <row r="553">
      <c r="A553" s="130"/>
    </row>
    <row r="554">
      <c r="A554" s="130"/>
    </row>
    <row r="555">
      <c r="A555" s="130"/>
    </row>
    <row r="556">
      <c r="A556" s="130"/>
    </row>
    <row r="557">
      <c r="A557" s="130"/>
    </row>
    <row r="558">
      <c r="A558" s="130"/>
    </row>
    <row r="559">
      <c r="A559" s="130"/>
    </row>
    <row r="560">
      <c r="A560" s="130"/>
    </row>
    <row r="561">
      <c r="A561" s="130"/>
    </row>
    <row r="562">
      <c r="A562" s="130"/>
    </row>
    <row r="563">
      <c r="A563" s="130"/>
    </row>
    <row r="564">
      <c r="A564" s="130"/>
    </row>
    <row r="565">
      <c r="A565" s="130"/>
    </row>
    <row r="566">
      <c r="A566" s="130"/>
    </row>
    <row r="567">
      <c r="A567" s="130"/>
    </row>
    <row r="568">
      <c r="A568" s="130"/>
    </row>
    <row r="569">
      <c r="A569" s="130"/>
    </row>
    <row r="570">
      <c r="A570" s="130"/>
    </row>
    <row r="571">
      <c r="A571" s="130"/>
    </row>
    <row r="572">
      <c r="A572" s="130"/>
    </row>
    <row r="573">
      <c r="A573" s="130"/>
    </row>
    <row r="574">
      <c r="A574" s="130"/>
    </row>
    <row r="575">
      <c r="A575" s="130"/>
    </row>
    <row r="576">
      <c r="A576" s="130"/>
    </row>
    <row r="577">
      <c r="A577" s="130"/>
    </row>
    <row r="578">
      <c r="A578" s="130"/>
    </row>
    <row r="579">
      <c r="A579" s="130"/>
    </row>
    <row r="580">
      <c r="A580" s="130"/>
    </row>
    <row r="581">
      <c r="A581" s="130"/>
    </row>
    <row r="582">
      <c r="A582" s="130"/>
    </row>
    <row r="583">
      <c r="A583" s="130"/>
    </row>
    <row r="584">
      <c r="A584" s="130"/>
    </row>
    <row r="585">
      <c r="A585" s="130"/>
    </row>
    <row r="586">
      <c r="A586" s="130"/>
    </row>
    <row r="587">
      <c r="A587" s="130"/>
    </row>
    <row r="588">
      <c r="A588" s="130"/>
    </row>
    <row r="589">
      <c r="A589" s="130"/>
    </row>
    <row r="590">
      <c r="A590" s="130"/>
    </row>
    <row r="591">
      <c r="A591" s="130"/>
    </row>
    <row r="592">
      <c r="A592" s="130"/>
    </row>
    <row r="593">
      <c r="A593" s="130"/>
    </row>
    <row r="594">
      <c r="A594" s="130"/>
    </row>
    <row r="595">
      <c r="A595" s="130"/>
    </row>
    <row r="596">
      <c r="A596" s="130"/>
    </row>
    <row r="597">
      <c r="A597" s="130"/>
    </row>
    <row r="598">
      <c r="A598" s="130"/>
    </row>
    <row r="599">
      <c r="A599" s="130"/>
    </row>
    <row r="600">
      <c r="A600" s="130"/>
    </row>
    <row r="601">
      <c r="A601" s="130"/>
    </row>
    <row r="602">
      <c r="A602" s="130"/>
    </row>
    <row r="603">
      <c r="A603" s="130"/>
    </row>
    <row r="604">
      <c r="A604" s="130"/>
    </row>
    <row r="605">
      <c r="A605" s="130"/>
    </row>
    <row r="606">
      <c r="A606" s="130"/>
    </row>
    <row r="607">
      <c r="A607" s="130"/>
    </row>
    <row r="608">
      <c r="A608" s="130"/>
    </row>
    <row r="609">
      <c r="A609" s="130"/>
    </row>
    <row r="610">
      <c r="A610" s="130"/>
    </row>
    <row r="611">
      <c r="A611" s="130"/>
    </row>
    <row r="612">
      <c r="A612" s="130"/>
    </row>
    <row r="613">
      <c r="A613" s="130"/>
    </row>
    <row r="614">
      <c r="A614" s="130"/>
    </row>
    <row r="615">
      <c r="A615" s="130"/>
    </row>
    <row r="616">
      <c r="A616" s="130"/>
    </row>
    <row r="617">
      <c r="A617" s="130"/>
    </row>
    <row r="618">
      <c r="A618" s="130"/>
    </row>
    <row r="619">
      <c r="A619" s="130"/>
    </row>
    <row r="620">
      <c r="A620" s="130"/>
    </row>
    <row r="621">
      <c r="A621" s="130"/>
    </row>
    <row r="622">
      <c r="A622" s="130"/>
    </row>
    <row r="623">
      <c r="A623" s="130"/>
    </row>
    <row r="624">
      <c r="A624" s="130"/>
    </row>
    <row r="625">
      <c r="A625" s="130"/>
    </row>
    <row r="626">
      <c r="A626" s="130"/>
    </row>
    <row r="627">
      <c r="A627" s="130"/>
    </row>
    <row r="628">
      <c r="A628" s="130"/>
    </row>
    <row r="629">
      <c r="A629" s="130"/>
    </row>
    <row r="630">
      <c r="A630" s="130"/>
    </row>
    <row r="631">
      <c r="A631" s="130"/>
    </row>
    <row r="632">
      <c r="A632" s="130"/>
    </row>
    <row r="633">
      <c r="A633" s="130"/>
    </row>
    <row r="634">
      <c r="A634" s="130"/>
    </row>
    <row r="635">
      <c r="A635" s="130"/>
    </row>
    <row r="636">
      <c r="A636" s="130"/>
    </row>
    <row r="637">
      <c r="A637" s="130"/>
    </row>
    <row r="638">
      <c r="A638" s="130"/>
    </row>
    <row r="639">
      <c r="A639" s="130"/>
    </row>
    <row r="640">
      <c r="A640" s="130"/>
    </row>
    <row r="641">
      <c r="A641" s="130"/>
    </row>
    <row r="642">
      <c r="A642" s="130"/>
    </row>
    <row r="643">
      <c r="A643" s="130"/>
    </row>
    <row r="644">
      <c r="A644" s="130"/>
    </row>
    <row r="645">
      <c r="A645" s="130"/>
    </row>
    <row r="646">
      <c r="A646" s="130"/>
    </row>
    <row r="647">
      <c r="A647" s="130"/>
    </row>
    <row r="648">
      <c r="A648" s="130"/>
    </row>
    <row r="649">
      <c r="A649" s="130"/>
    </row>
    <row r="650">
      <c r="A650" s="130"/>
    </row>
    <row r="651">
      <c r="A651" s="130"/>
    </row>
    <row r="652">
      <c r="A652" s="130"/>
    </row>
    <row r="653">
      <c r="A653" s="130"/>
    </row>
    <row r="654">
      <c r="A654" s="130"/>
    </row>
    <row r="655">
      <c r="A655" s="130"/>
    </row>
    <row r="656">
      <c r="A656" s="130"/>
    </row>
    <row r="657">
      <c r="A657" s="130"/>
    </row>
    <row r="658">
      <c r="A658" s="130"/>
    </row>
    <row r="659">
      <c r="A659" s="130"/>
    </row>
    <row r="660">
      <c r="A660" s="130"/>
    </row>
    <row r="661">
      <c r="A661" s="130"/>
    </row>
    <row r="662">
      <c r="A662" s="130"/>
    </row>
    <row r="663">
      <c r="A663" s="130"/>
    </row>
    <row r="664">
      <c r="A664" s="130"/>
    </row>
    <row r="665">
      <c r="A665" s="130"/>
    </row>
    <row r="666">
      <c r="A666" s="130"/>
    </row>
    <row r="667">
      <c r="A667" s="130"/>
    </row>
    <row r="668">
      <c r="A668" s="130"/>
    </row>
    <row r="669">
      <c r="A669" s="130"/>
    </row>
    <row r="670">
      <c r="A670" s="130"/>
    </row>
    <row r="671">
      <c r="A671" s="130"/>
    </row>
    <row r="672">
      <c r="A672" s="130"/>
    </row>
    <row r="673">
      <c r="A673" s="130"/>
    </row>
    <row r="674">
      <c r="A674" s="130"/>
    </row>
    <row r="675">
      <c r="A675" s="130"/>
    </row>
    <row r="676">
      <c r="A676" s="130"/>
    </row>
    <row r="677">
      <c r="A677" s="130"/>
    </row>
    <row r="678">
      <c r="A678" s="130"/>
    </row>
    <row r="679">
      <c r="A679" s="130"/>
    </row>
    <row r="680">
      <c r="A680" s="130"/>
    </row>
    <row r="681">
      <c r="A681" s="130"/>
    </row>
    <row r="682">
      <c r="A682" s="130"/>
    </row>
    <row r="683">
      <c r="A683" s="130"/>
    </row>
    <row r="684">
      <c r="A684" s="130"/>
    </row>
    <row r="685">
      <c r="A685" s="130"/>
    </row>
    <row r="686">
      <c r="A686" s="130"/>
    </row>
    <row r="687">
      <c r="A687" s="130"/>
    </row>
    <row r="688">
      <c r="A688" s="130"/>
    </row>
    <row r="689">
      <c r="A689" s="130"/>
    </row>
    <row r="690">
      <c r="A690" s="130"/>
    </row>
    <row r="691">
      <c r="A691" s="130"/>
    </row>
    <row r="692">
      <c r="A692" s="130"/>
    </row>
    <row r="693">
      <c r="A693" s="130"/>
    </row>
    <row r="694">
      <c r="A694" s="130"/>
    </row>
    <row r="695">
      <c r="A695" s="130"/>
    </row>
    <row r="696">
      <c r="A696" s="130"/>
    </row>
    <row r="697">
      <c r="A697" s="130"/>
    </row>
    <row r="698">
      <c r="A698" s="130"/>
    </row>
    <row r="699">
      <c r="A699" s="130"/>
    </row>
    <row r="700">
      <c r="A700" s="130"/>
    </row>
    <row r="701">
      <c r="A701" s="130"/>
    </row>
    <row r="702">
      <c r="A702" s="130"/>
    </row>
    <row r="703">
      <c r="A703" s="130"/>
    </row>
    <row r="704">
      <c r="A704" s="130"/>
    </row>
    <row r="705">
      <c r="A705" s="130"/>
    </row>
    <row r="706">
      <c r="A706" s="130"/>
    </row>
    <row r="707">
      <c r="A707" s="130"/>
    </row>
    <row r="708">
      <c r="A708" s="130"/>
    </row>
    <row r="709">
      <c r="A709" s="130"/>
    </row>
    <row r="710">
      <c r="A710" s="130"/>
    </row>
    <row r="711">
      <c r="A711" s="130"/>
    </row>
    <row r="712">
      <c r="A712" s="130"/>
    </row>
    <row r="713">
      <c r="A713" s="130"/>
    </row>
    <row r="714">
      <c r="A714" s="130"/>
    </row>
    <row r="715">
      <c r="A715" s="130"/>
    </row>
    <row r="716">
      <c r="A716" s="130"/>
    </row>
    <row r="717">
      <c r="A717" s="130"/>
    </row>
    <row r="718">
      <c r="A718" s="130"/>
    </row>
    <row r="719">
      <c r="A719" s="130"/>
    </row>
    <row r="720">
      <c r="A720" s="130"/>
    </row>
    <row r="721">
      <c r="A721" s="130"/>
    </row>
    <row r="722">
      <c r="A722" s="130"/>
    </row>
    <row r="723">
      <c r="A723" s="130"/>
    </row>
    <row r="724">
      <c r="A724" s="130"/>
    </row>
    <row r="725">
      <c r="A725" s="130"/>
    </row>
    <row r="726">
      <c r="A726" s="130"/>
    </row>
    <row r="727">
      <c r="A727" s="130"/>
    </row>
    <row r="728">
      <c r="A728" s="130"/>
    </row>
    <row r="729">
      <c r="A729" s="130"/>
    </row>
    <row r="730">
      <c r="A730" s="130"/>
    </row>
    <row r="731">
      <c r="A731" s="130"/>
    </row>
    <row r="732">
      <c r="A732" s="130"/>
    </row>
    <row r="733">
      <c r="A733" s="130"/>
    </row>
    <row r="734">
      <c r="A734" s="130"/>
    </row>
    <row r="735">
      <c r="A735" s="130"/>
    </row>
    <row r="736">
      <c r="A736" s="130"/>
    </row>
    <row r="737">
      <c r="A737" s="130"/>
    </row>
    <row r="738">
      <c r="A738" s="130"/>
    </row>
    <row r="739">
      <c r="A739" s="130"/>
    </row>
    <row r="740">
      <c r="A740" s="130"/>
    </row>
    <row r="741">
      <c r="A741" s="130"/>
    </row>
    <row r="742">
      <c r="A742" s="130"/>
    </row>
    <row r="743">
      <c r="A743" s="130"/>
    </row>
    <row r="744">
      <c r="A744" s="130"/>
    </row>
    <row r="745">
      <c r="A745" s="130"/>
    </row>
    <row r="746">
      <c r="A746" s="130"/>
    </row>
    <row r="747">
      <c r="A747" s="130"/>
    </row>
    <row r="748">
      <c r="A748" s="130"/>
    </row>
    <row r="749">
      <c r="A749" s="130"/>
    </row>
    <row r="750">
      <c r="A750" s="130"/>
    </row>
    <row r="751">
      <c r="A751" s="130"/>
    </row>
    <row r="752">
      <c r="A752" s="130"/>
    </row>
    <row r="753">
      <c r="A753" s="130"/>
    </row>
    <row r="754">
      <c r="A754" s="130"/>
    </row>
    <row r="755">
      <c r="A755" s="130"/>
    </row>
    <row r="756">
      <c r="A756" s="130"/>
    </row>
    <row r="757">
      <c r="A757" s="130"/>
    </row>
    <row r="758">
      <c r="A758" s="130"/>
    </row>
    <row r="759">
      <c r="A759" s="130"/>
    </row>
    <row r="760">
      <c r="A760" s="130"/>
    </row>
    <row r="761">
      <c r="A761" s="130"/>
    </row>
    <row r="762">
      <c r="A762" s="130"/>
    </row>
    <row r="763">
      <c r="A763" s="130"/>
    </row>
    <row r="764">
      <c r="A764" s="130"/>
    </row>
    <row r="765">
      <c r="A765" s="130"/>
    </row>
    <row r="766">
      <c r="A766" s="130"/>
    </row>
    <row r="767">
      <c r="A767" s="130"/>
    </row>
    <row r="768">
      <c r="A768" s="130"/>
    </row>
    <row r="769">
      <c r="A769" s="130"/>
    </row>
    <row r="770">
      <c r="A770" s="130"/>
    </row>
    <row r="771">
      <c r="A771" s="130"/>
    </row>
    <row r="772">
      <c r="A772" s="130"/>
    </row>
    <row r="773">
      <c r="A773" s="130"/>
    </row>
    <row r="774">
      <c r="A774" s="130"/>
    </row>
    <row r="775">
      <c r="A775" s="130"/>
    </row>
    <row r="776">
      <c r="A776" s="130"/>
    </row>
    <row r="777">
      <c r="A777" s="130"/>
    </row>
    <row r="778">
      <c r="A778" s="130"/>
    </row>
    <row r="779">
      <c r="A779" s="130"/>
    </row>
    <row r="780">
      <c r="A780" s="130"/>
    </row>
    <row r="781">
      <c r="A781" s="130"/>
    </row>
    <row r="782">
      <c r="A782" s="130"/>
    </row>
    <row r="783">
      <c r="A783" s="130"/>
    </row>
    <row r="784">
      <c r="A784" s="130"/>
    </row>
    <row r="785">
      <c r="A785" s="130"/>
    </row>
    <row r="786">
      <c r="A786" s="130"/>
    </row>
    <row r="787">
      <c r="A787" s="130"/>
    </row>
    <row r="788">
      <c r="A788" s="130"/>
    </row>
    <row r="789">
      <c r="A789" s="130"/>
    </row>
    <row r="790">
      <c r="A790" s="130"/>
    </row>
    <row r="791">
      <c r="A791" s="130"/>
    </row>
    <row r="792">
      <c r="A792" s="130"/>
    </row>
    <row r="793">
      <c r="A793" s="130"/>
    </row>
    <row r="794">
      <c r="A794" s="130"/>
    </row>
    <row r="795">
      <c r="A795" s="130"/>
    </row>
    <row r="796">
      <c r="A796" s="130"/>
    </row>
    <row r="797">
      <c r="A797" s="130"/>
    </row>
    <row r="798">
      <c r="A798" s="130"/>
    </row>
    <row r="799">
      <c r="A799" s="130"/>
    </row>
    <row r="800">
      <c r="A800" s="130"/>
    </row>
    <row r="801">
      <c r="A801" s="130"/>
    </row>
    <row r="802">
      <c r="A802" s="130"/>
    </row>
    <row r="803">
      <c r="A803" s="130"/>
    </row>
    <row r="804">
      <c r="A804" s="130"/>
    </row>
    <row r="805">
      <c r="A805" s="130"/>
    </row>
    <row r="806">
      <c r="A806" s="130"/>
    </row>
    <row r="807">
      <c r="A807" s="130"/>
    </row>
    <row r="808">
      <c r="A808" s="130"/>
    </row>
    <row r="809">
      <c r="A809" s="130"/>
    </row>
    <row r="810">
      <c r="A810" s="130"/>
    </row>
    <row r="811">
      <c r="A811" s="130"/>
    </row>
    <row r="812">
      <c r="A812" s="130"/>
    </row>
    <row r="813">
      <c r="A813" s="130"/>
    </row>
    <row r="814">
      <c r="A814" s="130"/>
    </row>
    <row r="815">
      <c r="A815" s="130"/>
    </row>
    <row r="816">
      <c r="A816" s="130"/>
    </row>
    <row r="817">
      <c r="A817" s="130"/>
    </row>
    <row r="818">
      <c r="A818" s="130"/>
    </row>
    <row r="819">
      <c r="A819" s="130"/>
    </row>
    <row r="820">
      <c r="A820" s="130"/>
    </row>
    <row r="821">
      <c r="A821" s="130"/>
    </row>
    <row r="822">
      <c r="A822" s="130"/>
    </row>
    <row r="823">
      <c r="A823" s="130"/>
    </row>
    <row r="824">
      <c r="A824" s="130"/>
    </row>
    <row r="825">
      <c r="A825" s="130"/>
    </row>
    <row r="826">
      <c r="A826" s="130"/>
    </row>
    <row r="827">
      <c r="A827" s="130"/>
    </row>
    <row r="828">
      <c r="A828" s="130"/>
    </row>
    <row r="829">
      <c r="A829" s="130"/>
    </row>
    <row r="830">
      <c r="A830" s="130"/>
    </row>
    <row r="831">
      <c r="A831" s="130"/>
    </row>
    <row r="832">
      <c r="A832" s="130"/>
    </row>
    <row r="833">
      <c r="A833" s="130"/>
    </row>
    <row r="834">
      <c r="A834" s="130"/>
    </row>
    <row r="835">
      <c r="A835" s="130"/>
    </row>
    <row r="836">
      <c r="A836" s="130"/>
    </row>
    <row r="837">
      <c r="A837" s="130"/>
    </row>
    <row r="838">
      <c r="A838" s="130"/>
    </row>
    <row r="839">
      <c r="A839" s="130"/>
    </row>
    <row r="840">
      <c r="A840" s="130"/>
    </row>
    <row r="841">
      <c r="A841" s="130"/>
    </row>
    <row r="842">
      <c r="A842" s="130"/>
    </row>
    <row r="843">
      <c r="A843" s="130"/>
    </row>
    <row r="844">
      <c r="A844" s="130"/>
    </row>
    <row r="845">
      <c r="A845" s="130"/>
    </row>
    <row r="846">
      <c r="A846" s="130"/>
    </row>
    <row r="847">
      <c r="A847" s="130"/>
    </row>
    <row r="848">
      <c r="A848" s="130"/>
    </row>
    <row r="849">
      <c r="A849" s="130"/>
    </row>
    <row r="850">
      <c r="A850" s="130"/>
    </row>
    <row r="851">
      <c r="A851" s="130"/>
    </row>
    <row r="852">
      <c r="A852" s="130"/>
    </row>
    <row r="853">
      <c r="A853" s="130"/>
    </row>
    <row r="854">
      <c r="A854" s="130"/>
    </row>
    <row r="855">
      <c r="A855" s="130"/>
    </row>
    <row r="856">
      <c r="A856" s="130"/>
    </row>
    <row r="857">
      <c r="A857" s="130"/>
    </row>
    <row r="858">
      <c r="A858" s="130"/>
    </row>
    <row r="859">
      <c r="A859" s="130"/>
    </row>
    <row r="860">
      <c r="A860" s="130"/>
    </row>
    <row r="861">
      <c r="A861" s="130"/>
    </row>
    <row r="862">
      <c r="A862" s="130"/>
    </row>
    <row r="863">
      <c r="A863" s="130"/>
    </row>
    <row r="864">
      <c r="A864" s="130"/>
    </row>
    <row r="865">
      <c r="A865" s="130"/>
    </row>
    <row r="866">
      <c r="A866" s="130"/>
    </row>
    <row r="867">
      <c r="A867" s="130"/>
    </row>
    <row r="868">
      <c r="A868" s="130"/>
    </row>
    <row r="869">
      <c r="A869" s="130"/>
    </row>
    <row r="870">
      <c r="A870" s="130"/>
    </row>
    <row r="871">
      <c r="A871" s="130"/>
    </row>
    <row r="872">
      <c r="A872" s="130"/>
    </row>
    <row r="873">
      <c r="A873" s="130"/>
    </row>
    <row r="874">
      <c r="A874" s="130"/>
    </row>
    <row r="875">
      <c r="A875" s="130"/>
    </row>
    <row r="876">
      <c r="A876" s="130"/>
    </row>
    <row r="877">
      <c r="A877" s="130"/>
    </row>
    <row r="878">
      <c r="A878" s="130"/>
    </row>
    <row r="879">
      <c r="A879" s="130"/>
    </row>
    <row r="880">
      <c r="A880" s="130"/>
    </row>
    <row r="881">
      <c r="A881" s="130"/>
    </row>
    <row r="882">
      <c r="A882" s="130"/>
    </row>
    <row r="883">
      <c r="A883" s="130"/>
    </row>
    <row r="884">
      <c r="A884" s="130"/>
    </row>
    <row r="885">
      <c r="A885" s="130"/>
    </row>
    <row r="886">
      <c r="A886" s="130"/>
    </row>
    <row r="887">
      <c r="A887" s="130"/>
    </row>
    <row r="888">
      <c r="A888" s="130"/>
    </row>
    <row r="889">
      <c r="A889" s="130"/>
    </row>
    <row r="890">
      <c r="A890" s="130"/>
    </row>
    <row r="891">
      <c r="A891" s="130"/>
    </row>
    <row r="892">
      <c r="A892" s="130"/>
    </row>
    <row r="893">
      <c r="A893" s="130"/>
    </row>
    <row r="894">
      <c r="A894" s="130"/>
    </row>
    <row r="895">
      <c r="A895" s="130"/>
    </row>
    <row r="896">
      <c r="A896" s="130"/>
    </row>
    <row r="897">
      <c r="A897" s="130"/>
    </row>
    <row r="898">
      <c r="A898" s="130"/>
    </row>
    <row r="899">
      <c r="A899" s="130"/>
    </row>
    <row r="900">
      <c r="A900" s="130"/>
    </row>
    <row r="901">
      <c r="A901" s="130"/>
    </row>
    <row r="902">
      <c r="A902" s="130"/>
    </row>
    <row r="903">
      <c r="A903" s="130"/>
    </row>
    <row r="904">
      <c r="A904" s="130"/>
    </row>
    <row r="905">
      <c r="A905" s="130"/>
    </row>
    <row r="906">
      <c r="A906" s="130"/>
    </row>
    <row r="907">
      <c r="A907" s="130"/>
    </row>
    <row r="908">
      <c r="A908" s="130"/>
    </row>
    <row r="909">
      <c r="A909" s="130"/>
    </row>
    <row r="910">
      <c r="A910" s="130"/>
    </row>
    <row r="911">
      <c r="A911" s="130"/>
    </row>
    <row r="912">
      <c r="A912" s="130"/>
    </row>
    <row r="913">
      <c r="A913" s="130"/>
    </row>
    <row r="914">
      <c r="A914" s="130"/>
    </row>
    <row r="915">
      <c r="A915" s="130"/>
    </row>
    <row r="916">
      <c r="A916" s="130"/>
    </row>
    <row r="917">
      <c r="A917" s="130"/>
    </row>
    <row r="918">
      <c r="A918" s="130"/>
    </row>
    <row r="919">
      <c r="A919" s="130"/>
    </row>
    <row r="920">
      <c r="A920" s="130"/>
    </row>
    <row r="921">
      <c r="A921" s="130"/>
    </row>
    <row r="922">
      <c r="A922" s="130"/>
    </row>
    <row r="923">
      <c r="A923" s="130"/>
    </row>
    <row r="924">
      <c r="A924" s="130"/>
    </row>
    <row r="925">
      <c r="A925" s="130"/>
    </row>
    <row r="926">
      <c r="A926" s="130"/>
    </row>
    <row r="927">
      <c r="A927" s="130"/>
    </row>
    <row r="928">
      <c r="A928" s="130"/>
    </row>
    <row r="929">
      <c r="A929" s="130"/>
    </row>
    <row r="930">
      <c r="A930" s="130"/>
    </row>
    <row r="931">
      <c r="A931" s="130"/>
    </row>
    <row r="932">
      <c r="A932" s="130"/>
    </row>
    <row r="933">
      <c r="A933" s="130"/>
    </row>
    <row r="934">
      <c r="A934" s="130"/>
    </row>
    <row r="935">
      <c r="A935" s="130"/>
    </row>
    <row r="936">
      <c r="A936" s="130"/>
    </row>
    <row r="937">
      <c r="A937" s="130"/>
    </row>
    <row r="938">
      <c r="A938" s="130"/>
    </row>
    <row r="939">
      <c r="A939" s="130"/>
    </row>
    <row r="940">
      <c r="A940" s="130"/>
    </row>
    <row r="941">
      <c r="A941" s="130"/>
    </row>
    <row r="942">
      <c r="A942" s="130"/>
    </row>
    <row r="943">
      <c r="A943" s="130"/>
    </row>
    <row r="944">
      <c r="A944" s="130"/>
    </row>
    <row r="945">
      <c r="A945" s="130"/>
    </row>
    <row r="946">
      <c r="A946" s="130"/>
    </row>
    <row r="947">
      <c r="A947" s="130"/>
    </row>
    <row r="948">
      <c r="A948" s="130"/>
    </row>
    <row r="949">
      <c r="A949" s="130"/>
    </row>
    <row r="950">
      <c r="A950" s="130"/>
    </row>
    <row r="951">
      <c r="A951" s="130"/>
    </row>
    <row r="952">
      <c r="A952" s="130"/>
    </row>
    <row r="953">
      <c r="A953" s="130"/>
    </row>
    <row r="954">
      <c r="A954" s="130"/>
    </row>
    <row r="955">
      <c r="A955" s="130"/>
    </row>
    <row r="956">
      <c r="A956" s="130"/>
    </row>
    <row r="957">
      <c r="A957" s="130"/>
    </row>
    <row r="958">
      <c r="A958" s="130"/>
    </row>
    <row r="959">
      <c r="A959" s="130"/>
    </row>
    <row r="960">
      <c r="A960" s="130"/>
    </row>
    <row r="961">
      <c r="A961" s="130"/>
    </row>
    <row r="962">
      <c r="A962" s="130"/>
    </row>
    <row r="963">
      <c r="A963" s="130"/>
    </row>
    <row r="964">
      <c r="A964" s="130"/>
    </row>
    <row r="965">
      <c r="A965" s="130"/>
    </row>
    <row r="966">
      <c r="A966" s="130"/>
    </row>
    <row r="967">
      <c r="A967" s="130"/>
    </row>
    <row r="968">
      <c r="A968" s="130"/>
    </row>
    <row r="969">
      <c r="A969" s="130"/>
    </row>
    <row r="970">
      <c r="A970" s="130"/>
    </row>
    <row r="971">
      <c r="A971" s="130"/>
    </row>
    <row r="972">
      <c r="A972" s="130"/>
    </row>
    <row r="973">
      <c r="A973" s="130"/>
    </row>
    <row r="974">
      <c r="A974" s="130"/>
    </row>
    <row r="975">
      <c r="A975" s="130"/>
    </row>
    <row r="976">
      <c r="A976" s="130"/>
    </row>
    <row r="977">
      <c r="A977" s="130"/>
    </row>
    <row r="978">
      <c r="A978" s="130"/>
    </row>
    <row r="979">
      <c r="A979" s="130"/>
    </row>
    <row r="980">
      <c r="A980" s="130"/>
    </row>
    <row r="981">
      <c r="A981" s="130"/>
    </row>
    <row r="982">
      <c r="A982" s="130"/>
    </row>
    <row r="983">
      <c r="A983" s="130"/>
    </row>
    <row r="984">
      <c r="A984" s="130"/>
    </row>
    <row r="985">
      <c r="A985" s="130"/>
    </row>
    <row r="986">
      <c r="A986" s="130"/>
    </row>
    <row r="987">
      <c r="A987" s="130"/>
    </row>
    <row r="988">
      <c r="A988" s="130"/>
    </row>
    <row r="989">
      <c r="A989" s="130"/>
    </row>
    <row r="990">
      <c r="A990" s="130"/>
    </row>
    <row r="991">
      <c r="A991" s="130"/>
    </row>
    <row r="992">
      <c r="A992" s="130"/>
    </row>
    <row r="993">
      <c r="A993" s="130"/>
    </row>
    <row r="994">
      <c r="A994" s="130"/>
    </row>
    <row r="995">
      <c r="A995" s="130"/>
    </row>
    <row r="996">
      <c r="A996" s="130"/>
    </row>
    <row r="997">
      <c r="A997" s="130"/>
    </row>
    <row r="998">
      <c r="A998" s="130"/>
    </row>
    <row r="999">
      <c r="A999" s="130"/>
    </row>
    <row r="1000">
      <c r="A1000" s="130"/>
    </row>
    <row r="1001">
      <c r="A1001" s="130"/>
    </row>
  </sheetData>
  <mergeCells count="1">
    <mergeCell ref="A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13"/>
    <col customWidth="1" min="3" max="9" width="17.25"/>
  </cols>
  <sheetData>
    <row r="1">
      <c r="A1" s="133" t="s">
        <v>511</v>
      </c>
      <c r="B1" s="39"/>
      <c r="C1" s="39"/>
      <c r="D1" s="39"/>
      <c r="E1" s="39"/>
      <c r="F1" s="39"/>
      <c r="G1" s="39"/>
      <c r="H1" s="39"/>
      <c r="I1" s="2"/>
    </row>
    <row r="2">
      <c r="A2" s="134" t="s">
        <v>501</v>
      </c>
      <c r="B2" s="135" t="s">
        <v>512</v>
      </c>
      <c r="C2" s="136" t="s">
        <v>513</v>
      </c>
      <c r="D2" s="39"/>
      <c r="E2" s="39"/>
      <c r="F2" s="39"/>
      <c r="G2" s="39"/>
      <c r="H2" s="39"/>
      <c r="I2" s="2"/>
    </row>
    <row r="3">
      <c r="A3" s="137"/>
      <c r="B3" s="137"/>
      <c r="C3" s="138" t="s">
        <v>514</v>
      </c>
      <c r="D3" s="138" t="s">
        <v>515</v>
      </c>
      <c r="E3" s="138" t="s">
        <v>516</v>
      </c>
      <c r="F3" s="138" t="s">
        <v>517</v>
      </c>
      <c r="G3" s="138" t="s">
        <v>518</v>
      </c>
      <c r="H3" s="138" t="s">
        <v>519</v>
      </c>
      <c r="I3" s="138" t="s">
        <v>520</v>
      </c>
    </row>
    <row r="4">
      <c r="A4" s="139">
        <v>1993.0</v>
      </c>
      <c r="B4" s="139">
        <v>68.2</v>
      </c>
      <c r="C4" s="139">
        <v>5.7</v>
      </c>
      <c r="D4" s="139">
        <v>8.4</v>
      </c>
      <c r="E4" s="139">
        <v>140.6</v>
      </c>
      <c r="F4" s="139">
        <v>30.9</v>
      </c>
      <c r="G4" s="139">
        <v>130.6</v>
      </c>
      <c r="H4" s="139">
        <v>118.1</v>
      </c>
      <c r="I4" s="139">
        <v>12.4</v>
      </c>
    </row>
    <row r="5">
      <c r="A5" s="139">
        <v>1994.0</v>
      </c>
      <c r="B5" s="139">
        <v>60.2</v>
      </c>
      <c r="C5" s="139">
        <v>3.7</v>
      </c>
      <c r="D5" s="139">
        <v>8.8</v>
      </c>
      <c r="E5" s="139">
        <v>137.1</v>
      </c>
      <c r="F5" s="139">
        <v>35.2</v>
      </c>
      <c r="G5" s="139">
        <v>99.3</v>
      </c>
      <c r="H5" s="139">
        <v>84.1</v>
      </c>
      <c r="I5" s="139">
        <v>1.0</v>
      </c>
    </row>
    <row r="6">
      <c r="A6" s="139">
        <v>1995.0</v>
      </c>
      <c r="B6" s="139">
        <v>59.9</v>
      </c>
      <c r="C6" s="139">
        <v>3.7</v>
      </c>
      <c r="D6" s="139">
        <v>8.6</v>
      </c>
      <c r="E6" s="139">
        <v>179.6</v>
      </c>
      <c r="F6" s="139">
        <v>25.1</v>
      </c>
      <c r="G6" s="139">
        <v>85.9</v>
      </c>
      <c r="H6" s="139">
        <v>50.5</v>
      </c>
      <c r="I6" s="139">
        <v>0.6</v>
      </c>
    </row>
    <row r="7">
      <c r="A7" s="139">
        <v>1996.0</v>
      </c>
      <c r="B7" s="139">
        <v>58.9</v>
      </c>
      <c r="C7" s="139">
        <v>2.7</v>
      </c>
      <c r="D7" s="139">
        <v>3.2</v>
      </c>
      <c r="E7" s="139">
        <v>188.1</v>
      </c>
      <c r="F7" s="139">
        <v>21.6</v>
      </c>
      <c r="G7" s="139">
        <v>78.7</v>
      </c>
      <c r="H7" s="139">
        <v>39.9</v>
      </c>
      <c r="I7" s="139">
        <v>15.4</v>
      </c>
    </row>
    <row r="8">
      <c r="A8" s="139">
        <v>1997.0</v>
      </c>
      <c r="B8" s="139">
        <v>59.3</v>
      </c>
      <c r="C8" s="139">
        <v>3.4</v>
      </c>
      <c r="D8" s="139">
        <v>4.1</v>
      </c>
      <c r="E8" s="139">
        <v>196.2</v>
      </c>
      <c r="F8" s="139">
        <v>23.3</v>
      </c>
      <c r="G8" s="139">
        <v>65.5</v>
      </c>
      <c r="H8" s="139">
        <v>39.9</v>
      </c>
      <c r="I8" s="139">
        <v>0.6</v>
      </c>
    </row>
    <row r="9">
      <c r="A9" s="139">
        <v>1998.0</v>
      </c>
      <c r="B9" s="139">
        <v>55.7</v>
      </c>
      <c r="C9" s="139">
        <v>3.1</v>
      </c>
      <c r="D9" s="139">
        <v>8.0</v>
      </c>
      <c r="E9" s="139">
        <v>181.7</v>
      </c>
      <c r="F9" s="139">
        <v>20.3</v>
      </c>
      <c r="G9" s="139">
        <v>62.0</v>
      </c>
      <c r="H9" s="139">
        <v>43.3</v>
      </c>
      <c r="I9" s="139">
        <v>0.4</v>
      </c>
    </row>
    <row r="10">
      <c r="A10" s="139">
        <v>1999.0</v>
      </c>
      <c r="B10" s="139">
        <v>54.8</v>
      </c>
      <c r="C10" s="139">
        <v>2.7</v>
      </c>
      <c r="D10" s="139">
        <v>7.0</v>
      </c>
      <c r="E10" s="139">
        <v>224.4</v>
      </c>
      <c r="F10" s="139">
        <v>16.5</v>
      </c>
      <c r="G10" s="139">
        <v>60.6</v>
      </c>
      <c r="H10" s="139">
        <v>33.9</v>
      </c>
      <c r="I10" s="139">
        <v>0.2</v>
      </c>
    </row>
    <row r="11">
      <c r="A11" s="139">
        <v>2000.0</v>
      </c>
      <c r="B11" s="139">
        <v>55.6</v>
      </c>
      <c r="C11" s="139">
        <v>2.7</v>
      </c>
      <c r="D11" s="139">
        <v>7.3</v>
      </c>
      <c r="E11" s="139">
        <v>208.5</v>
      </c>
      <c r="F11" s="139">
        <v>15.2</v>
      </c>
      <c r="G11" s="139">
        <v>66.6</v>
      </c>
      <c r="H11" s="139">
        <v>34.9</v>
      </c>
      <c r="I11" s="139">
        <v>0.2</v>
      </c>
    </row>
    <row r="12">
      <c r="A12" s="139">
        <v>2001.0</v>
      </c>
      <c r="B12" s="139">
        <v>54.7</v>
      </c>
      <c r="C12" s="139">
        <v>2.6</v>
      </c>
      <c r="D12" s="139">
        <v>7.7</v>
      </c>
      <c r="E12" s="139">
        <v>201.3</v>
      </c>
      <c r="F12" s="139">
        <v>13.8</v>
      </c>
      <c r="G12" s="139">
        <v>53.1</v>
      </c>
      <c r="H12" s="139">
        <v>26.7</v>
      </c>
      <c r="I12" s="139">
        <v>0.2</v>
      </c>
    </row>
    <row r="13">
      <c r="A13" s="139">
        <v>2002.0</v>
      </c>
      <c r="B13" s="139">
        <v>54.7</v>
      </c>
      <c r="C13" s="139">
        <v>3.1</v>
      </c>
      <c r="D13" s="139">
        <v>8.1</v>
      </c>
      <c r="E13" s="139">
        <v>237.2</v>
      </c>
      <c r="F13" s="139">
        <v>14.9</v>
      </c>
      <c r="G13" s="139">
        <v>53.6</v>
      </c>
      <c r="H13" s="139">
        <v>25.0</v>
      </c>
      <c r="I13" s="139">
        <v>0.2</v>
      </c>
    </row>
    <row r="14">
      <c r="A14" s="139">
        <v>2003.0</v>
      </c>
      <c r="B14" s="139">
        <v>52.3</v>
      </c>
      <c r="C14" s="139">
        <v>2.4</v>
      </c>
      <c r="D14" s="139">
        <v>7.5</v>
      </c>
      <c r="E14" s="139">
        <v>274.4</v>
      </c>
      <c r="F14" s="139">
        <v>13.0</v>
      </c>
      <c r="G14" s="139">
        <v>47.7</v>
      </c>
      <c r="H14" s="139">
        <v>23.5</v>
      </c>
      <c r="I14" s="139">
        <v>0.2</v>
      </c>
    </row>
    <row r="15">
      <c r="A15" s="139">
        <v>2004.0</v>
      </c>
      <c r="B15" s="139">
        <v>51.3</v>
      </c>
      <c r="C15" s="139">
        <v>2.4</v>
      </c>
      <c r="D15" s="139">
        <v>6.8</v>
      </c>
      <c r="E15" s="139">
        <v>288.2</v>
      </c>
      <c r="F15" s="139">
        <v>9.1</v>
      </c>
      <c r="G15" s="139">
        <v>46.2</v>
      </c>
      <c r="H15" s="139">
        <v>16.8</v>
      </c>
      <c r="I15" s="139">
        <v>0.1</v>
      </c>
    </row>
    <row r="16">
      <c r="A16" s="139">
        <v>2005.0</v>
      </c>
      <c r="B16" s="139">
        <v>50.9</v>
      </c>
      <c r="C16" s="139">
        <v>2.2</v>
      </c>
      <c r="D16" s="139">
        <v>6.7</v>
      </c>
      <c r="E16" s="139">
        <v>374.7</v>
      </c>
      <c r="F16" s="139">
        <v>8.1</v>
      </c>
      <c r="G16" s="139">
        <v>42.9</v>
      </c>
      <c r="H16" s="139">
        <v>14.8</v>
      </c>
      <c r="I16" s="139">
        <v>0.1</v>
      </c>
    </row>
    <row r="17">
      <c r="A17" s="139">
        <v>2006.0</v>
      </c>
      <c r="B17" s="139">
        <v>51.4</v>
      </c>
      <c r="C17" s="139">
        <v>2.1</v>
      </c>
      <c r="D17" s="139">
        <v>6.3</v>
      </c>
      <c r="E17" s="139">
        <v>379.5</v>
      </c>
      <c r="F17" s="139">
        <v>7.2</v>
      </c>
      <c r="G17" s="139">
        <v>39.9</v>
      </c>
      <c r="H17" s="139">
        <v>15.7</v>
      </c>
      <c r="I17" s="139">
        <v>0.1</v>
      </c>
    </row>
    <row r="18">
      <c r="A18" s="139">
        <v>2007.0</v>
      </c>
      <c r="B18" s="139">
        <v>51.4</v>
      </c>
      <c r="C18" s="139">
        <v>2.2</v>
      </c>
      <c r="D18" s="139">
        <v>6.7</v>
      </c>
      <c r="E18" s="139">
        <v>391.7</v>
      </c>
      <c r="F18" s="139">
        <v>5.7</v>
      </c>
      <c r="G18" s="139">
        <v>32.6</v>
      </c>
      <c r="H18" s="139">
        <v>12.7</v>
      </c>
      <c r="I18" s="139">
        <v>0.1</v>
      </c>
    </row>
    <row r="19">
      <c r="A19" s="139">
        <v>2008.0</v>
      </c>
      <c r="B19" s="139">
        <v>52.1</v>
      </c>
      <c r="C19" s="139">
        <v>2.0</v>
      </c>
      <c r="D19" s="139">
        <v>6.5</v>
      </c>
      <c r="E19" s="139">
        <v>396.4</v>
      </c>
      <c r="F19" s="139">
        <v>5.8</v>
      </c>
      <c r="G19" s="139">
        <v>30.7</v>
      </c>
      <c r="H19" s="139">
        <v>13.9</v>
      </c>
      <c r="I19" s="139">
        <v>0.03</v>
      </c>
    </row>
    <row r="20">
      <c r="A20" s="139">
        <v>2009.0</v>
      </c>
      <c r="B20" s="139">
        <v>47.7</v>
      </c>
      <c r="C20" s="139">
        <v>1.8</v>
      </c>
      <c r="D20" s="139">
        <v>2.9</v>
      </c>
      <c r="E20" s="139">
        <v>409.2</v>
      </c>
      <c r="F20" s="139">
        <v>4.9</v>
      </c>
      <c r="G20" s="139">
        <v>25.8</v>
      </c>
      <c r="H20" s="139">
        <v>11.0</v>
      </c>
      <c r="I20" s="139">
        <v>0.02</v>
      </c>
    </row>
    <row r="21">
      <c r="A21" s="139">
        <v>2010.0</v>
      </c>
      <c r="B21" s="139">
        <v>49.2</v>
      </c>
      <c r="C21" s="139">
        <v>1.9</v>
      </c>
      <c r="D21" s="139">
        <v>5.7</v>
      </c>
      <c r="E21" s="139">
        <v>366.4</v>
      </c>
      <c r="F21" s="139">
        <v>4.1</v>
      </c>
      <c r="G21" s="139">
        <v>28.0</v>
      </c>
      <c r="H21" s="139">
        <v>9.0</v>
      </c>
      <c r="I21" s="139">
        <v>0.02</v>
      </c>
    </row>
    <row r="22">
      <c r="A22" s="139">
        <v>2011.0</v>
      </c>
      <c r="B22" s="139">
        <v>48.1</v>
      </c>
      <c r="C22" s="139">
        <v>1.9</v>
      </c>
      <c r="D22" s="139">
        <v>5.4</v>
      </c>
      <c r="E22" s="139">
        <v>409.9</v>
      </c>
      <c r="F22" s="139">
        <v>3.4</v>
      </c>
      <c r="G22" s="139">
        <v>24.5</v>
      </c>
      <c r="H22" s="139">
        <v>6.4</v>
      </c>
      <c r="I22" s="139">
        <v>0.01</v>
      </c>
    </row>
    <row r="23">
      <c r="A23" s="139">
        <v>2012.0</v>
      </c>
      <c r="B23" s="139">
        <v>45.5</v>
      </c>
      <c r="C23" s="139">
        <v>2.0</v>
      </c>
      <c r="D23" s="139">
        <v>5.6</v>
      </c>
      <c r="E23" s="139">
        <v>434.2</v>
      </c>
      <c r="F23" s="139">
        <v>3.0</v>
      </c>
      <c r="G23" s="139">
        <v>22.4</v>
      </c>
      <c r="H23" s="139">
        <v>6.2</v>
      </c>
      <c r="I23" s="139">
        <v>0.01</v>
      </c>
    </row>
    <row r="24">
      <c r="A24" s="140">
        <v>2013.0</v>
      </c>
      <c r="B24" s="141">
        <v>42.9</v>
      </c>
      <c r="C24" s="141">
        <v>1.8</v>
      </c>
      <c r="D24" s="141">
        <v>5.7</v>
      </c>
      <c r="E24" s="141">
        <v>437.9</v>
      </c>
      <c r="F24" s="141">
        <v>2.9</v>
      </c>
      <c r="G24" s="141">
        <v>20.2</v>
      </c>
      <c r="H24" s="141">
        <v>8.7</v>
      </c>
      <c r="I24" s="141">
        <v>0.01</v>
      </c>
    </row>
    <row r="25">
      <c r="A25" s="139">
        <v>2014.0</v>
      </c>
      <c r="B25" s="139">
        <v>43.7</v>
      </c>
      <c r="C25" s="139">
        <v>1.8</v>
      </c>
      <c r="D25" s="139">
        <v>5.3</v>
      </c>
      <c r="E25" s="139">
        <v>420.7</v>
      </c>
      <c r="F25" s="139">
        <v>2.3</v>
      </c>
      <c r="G25" s="139">
        <v>17.7</v>
      </c>
      <c r="H25" s="139">
        <v>7.6</v>
      </c>
      <c r="I25" s="139">
        <v>0.01</v>
      </c>
    </row>
    <row r="26">
      <c r="A26" s="139">
        <v>2015.0</v>
      </c>
      <c r="B26" s="139">
        <v>42.9</v>
      </c>
      <c r="C26" s="139">
        <v>1.9</v>
      </c>
      <c r="D26" s="139">
        <v>5.6</v>
      </c>
      <c r="E26" s="139">
        <v>421.2</v>
      </c>
      <c r="F26" s="139">
        <v>2.2</v>
      </c>
      <c r="G26" s="139">
        <v>16.1</v>
      </c>
      <c r="H26" s="139">
        <v>5.7</v>
      </c>
      <c r="I26" s="139">
        <v>0.01</v>
      </c>
    </row>
    <row r="27">
      <c r="A27" s="139">
        <v>2016.0</v>
      </c>
      <c r="B27" s="139">
        <v>42.9</v>
      </c>
      <c r="C27" s="139">
        <v>2.0</v>
      </c>
      <c r="D27" s="139">
        <v>5.7</v>
      </c>
      <c r="E27" s="139">
        <v>423.8</v>
      </c>
      <c r="F27" s="139">
        <v>2.3</v>
      </c>
      <c r="G27" s="139">
        <v>18.2</v>
      </c>
      <c r="H27" s="139">
        <v>5.1</v>
      </c>
      <c r="I27" s="139">
        <v>0.01</v>
      </c>
    </row>
    <row r="28">
      <c r="A28" s="139">
        <v>2017.0</v>
      </c>
      <c r="B28" s="139">
        <v>42.6</v>
      </c>
      <c r="C28" s="139">
        <v>2.2</v>
      </c>
      <c r="D28" s="139">
        <v>5.8</v>
      </c>
      <c r="E28" s="139">
        <v>404.8</v>
      </c>
      <c r="F28" s="139">
        <v>1.8</v>
      </c>
      <c r="G28" s="139">
        <v>14.3</v>
      </c>
      <c r="H28" s="139">
        <v>6.2</v>
      </c>
      <c r="I28" s="139">
        <v>0.0</v>
      </c>
    </row>
    <row r="29">
      <c r="A29" s="139">
        <v>2018.0</v>
      </c>
      <c r="B29" s="139">
        <v>40.1</v>
      </c>
      <c r="C29" s="139">
        <v>1.7</v>
      </c>
      <c r="D29" s="139">
        <v>6.3</v>
      </c>
      <c r="E29" s="139">
        <v>387.9</v>
      </c>
      <c r="F29" s="139">
        <v>2.0</v>
      </c>
      <c r="G29" s="139">
        <v>21.2</v>
      </c>
      <c r="H29" s="139">
        <v>4.2</v>
      </c>
      <c r="I29" s="139">
        <v>0.01</v>
      </c>
    </row>
    <row r="30">
      <c r="A30" s="139">
        <v>2019.0</v>
      </c>
      <c r="B30" s="139">
        <v>37.7</v>
      </c>
      <c r="C30" s="139">
        <v>1.7</v>
      </c>
      <c r="D30" s="139">
        <v>6.7</v>
      </c>
      <c r="E30" s="139">
        <v>368.1</v>
      </c>
      <c r="F30" s="139">
        <v>1.8</v>
      </c>
      <c r="G30" s="139">
        <v>15.1</v>
      </c>
      <c r="H30" s="139">
        <v>5.0</v>
      </c>
      <c r="I30" s="139">
        <v>0.01</v>
      </c>
    </row>
    <row r="31">
      <c r="A31" s="139">
        <v>2020.0</v>
      </c>
      <c r="B31" s="139">
        <v>34.3</v>
      </c>
      <c r="C31" s="139">
        <v>1.7</v>
      </c>
      <c r="D31" s="139">
        <v>6.4</v>
      </c>
      <c r="E31" s="139">
        <v>366.4</v>
      </c>
      <c r="F31" s="139">
        <v>1.6</v>
      </c>
      <c r="G31" s="139">
        <v>17.1</v>
      </c>
      <c r="H31" s="139">
        <v>5.3</v>
      </c>
      <c r="I31" s="139">
        <v>0.01</v>
      </c>
    </row>
    <row r="32">
      <c r="A32" s="139">
        <v>2021.0</v>
      </c>
      <c r="B32" s="139">
        <v>35.6</v>
      </c>
      <c r="C32" s="139">
        <v>1.6</v>
      </c>
      <c r="D32" s="139">
        <v>5.9</v>
      </c>
      <c r="E32" s="139">
        <v>368.9</v>
      </c>
      <c r="F32" s="139">
        <v>1.4</v>
      </c>
      <c r="G32" s="139">
        <v>19.3</v>
      </c>
      <c r="H32" s="139">
        <v>4.2</v>
      </c>
      <c r="I32" s="139">
        <v>0.02</v>
      </c>
    </row>
    <row r="33">
      <c r="A33" s="139">
        <v>2022.0</v>
      </c>
      <c r="B33" s="139">
        <v>36.2</v>
      </c>
      <c r="C33" s="139">
        <v>1.6</v>
      </c>
      <c r="D33" s="139">
        <v>6.2</v>
      </c>
      <c r="E33" s="139">
        <v>360.5</v>
      </c>
      <c r="F33" s="139">
        <v>0.4</v>
      </c>
      <c r="G33" s="139">
        <v>20.0</v>
      </c>
      <c r="H33" s="139">
        <v>8.6</v>
      </c>
      <c r="I33" s="139">
        <v>0.01</v>
      </c>
    </row>
  </sheetData>
  <mergeCells count="4">
    <mergeCell ref="A1:I1"/>
    <mergeCell ref="A2:A3"/>
    <mergeCell ref="B2:B3"/>
    <mergeCell ref="C2:I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4" width="17.63"/>
  </cols>
  <sheetData>
    <row r="1">
      <c r="A1" s="142" t="s">
        <v>521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2"/>
    </row>
    <row r="2" ht="43.5" customHeight="1">
      <c r="A2" s="139" t="s">
        <v>501</v>
      </c>
      <c r="B2" s="139" t="s">
        <v>522</v>
      </c>
      <c r="C2" s="143" t="s">
        <v>523</v>
      </c>
      <c r="D2" s="143" t="s">
        <v>524</v>
      </c>
      <c r="E2" s="143" t="s">
        <v>525</v>
      </c>
      <c r="F2" s="143" t="s">
        <v>526</v>
      </c>
      <c r="G2" s="143" t="s">
        <v>527</v>
      </c>
      <c r="H2" s="143" t="s">
        <v>528</v>
      </c>
      <c r="I2" s="143" t="s">
        <v>529</v>
      </c>
      <c r="J2" s="143" t="s">
        <v>530</v>
      </c>
      <c r="K2" s="143" t="s">
        <v>531</v>
      </c>
      <c r="L2" s="143" t="s">
        <v>532</v>
      </c>
      <c r="M2" s="143" t="s">
        <v>533</v>
      </c>
      <c r="N2" s="143" t="s">
        <v>534</v>
      </c>
    </row>
    <row r="3">
      <c r="A3" s="3">
        <v>1993.0</v>
      </c>
      <c r="B3" s="3">
        <v>27.2</v>
      </c>
      <c r="C3" s="3">
        <v>2.5</v>
      </c>
      <c r="D3" s="3">
        <v>0.6</v>
      </c>
      <c r="E3" s="3">
        <v>0.4</v>
      </c>
      <c r="F3" s="3">
        <v>4.3</v>
      </c>
      <c r="G3" s="144">
        <v>1.4</v>
      </c>
      <c r="H3" s="144">
        <v>1.6</v>
      </c>
      <c r="I3" s="3">
        <v>12.1</v>
      </c>
      <c r="J3" s="3">
        <v>10.2</v>
      </c>
      <c r="K3" s="3">
        <v>5.3</v>
      </c>
      <c r="L3" s="3">
        <v>2.0</v>
      </c>
      <c r="M3" s="3">
        <v>3.0</v>
      </c>
      <c r="N3" s="3">
        <v>1.0</v>
      </c>
    </row>
    <row r="4">
      <c r="A4" s="3">
        <v>1994.0</v>
      </c>
      <c r="B4" s="3">
        <v>24.6</v>
      </c>
      <c r="C4" s="3">
        <v>2.3</v>
      </c>
      <c r="D4" s="3">
        <v>0.6</v>
      </c>
      <c r="E4" s="3">
        <v>0.4</v>
      </c>
      <c r="F4" s="3">
        <v>3.2</v>
      </c>
      <c r="G4" s="3">
        <v>1.2</v>
      </c>
      <c r="H4" s="3">
        <v>1.3</v>
      </c>
      <c r="I4" s="3">
        <v>11.0</v>
      </c>
      <c r="J4" s="3">
        <v>9.6</v>
      </c>
      <c r="K4" s="3">
        <v>5.0</v>
      </c>
      <c r="L4" s="3">
        <v>1.8</v>
      </c>
      <c r="M4" s="3">
        <v>2.9</v>
      </c>
      <c r="N4" s="3">
        <v>0.9</v>
      </c>
    </row>
    <row r="5">
      <c r="A5" s="3">
        <v>1995.0</v>
      </c>
      <c r="B5" s="3">
        <v>24.5</v>
      </c>
      <c r="C5" s="3">
        <v>2.3</v>
      </c>
      <c r="D5" s="3">
        <v>0.5</v>
      </c>
      <c r="E5" s="3">
        <v>0.4</v>
      </c>
      <c r="F5" s="3">
        <v>3.5</v>
      </c>
      <c r="G5" s="3">
        <v>1.3</v>
      </c>
      <c r="H5" s="3">
        <v>1.3</v>
      </c>
      <c r="I5" s="3">
        <v>10.4</v>
      </c>
      <c r="J5" s="3">
        <v>9.2</v>
      </c>
      <c r="K5" s="3">
        <v>5.2</v>
      </c>
      <c r="L5" s="3">
        <v>1.8</v>
      </c>
      <c r="M5" s="3">
        <v>3.1</v>
      </c>
      <c r="N5" s="3">
        <v>0.9</v>
      </c>
    </row>
    <row r="6">
      <c r="A6" s="3">
        <v>1996.0</v>
      </c>
      <c r="B6" s="3">
        <v>22.4</v>
      </c>
      <c r="C6" s="3">
        <v>2.2</v>
      </c>
      <c r="D6" s="3">
        <v>0.5</v>
      </c>
      <c r="E6" s="3">
        <v>0.3</v>
      </c>
      <c r="F6" s="3">
        <v>3.1</v>
      </c>
      <c r="G6" s="3">
        <v>1.4</v>
      </c>
      <c r="H6" s="3">
        <v>1.0</v>
      </c>
      <c r="I6" s="3">
        <v>9.8</v>
      </c>
      <c r="J6" s="3">
        <v>8.7</v>
      </c>
      <c r="K6" s="3">
        <v>4.7</v>
      </c>
      <c r="L6" s="3">
        <v>1.7</v>
      </c>
      <c r="M6" s="3">
        <v>2.7</v>
      </c>
      <c r="N6" s="3">
        <v>0.8</v>
      </c>
    </row>
    <row r="7">
      <c r="A7" s="3">
        <v>1997.0</v>
      </c>
      <c r="B7" s="3">
        <v>23.0</v>
      </c>
      <c r="C7" s="3">
        <v>2.2</v>
      </c>
      <c r="D7" s="3">
        <v>0.4</v>
      </c>
      <c r="E7" s="3">
        <v>0.3</v>
      </c>
      <c r="F7" s="3">
        <v>3.8</v>
      </c>
      <c r="G7" s="3">
        <v>1.2</v>
      </c>
      <c r="H7" s="3">
        <v>1.6</v>
      </c>
      <c r="I7" s="3">
        <v>9.8</v>
      </c>
      <c r="J7" s="3">
        <v>8.7</v>
      </c>
      <c r="K7" s="3">
        <v>4.4</v>
      </c>
      <c r="L7" s="3">
        <v>1.5</v>
      </c>
      <c r="M7" s="3">
        <v>2.6</v>
      </c>
      <c r="N7" s="3">
        <v>0.8</v>
      </c>
    </row>
    <row r="8">
      <c r="A8" s="3">
        <v>1998.0</v>
      </c>
      <c r="B8" s="3">
        <v>22.0</v>
      </c>
      <c r="C8" s="3">
        <v>2.2</v>
      </c>
      <c r="D8" s="3">
        <v>0.5</v>
      </c>
      <c r="E8" s="3">
        <v>0.3</v>
      </c>
      <c r="F8" s="3">
        <v>3.2</v>
      </c>
      <c r="G8" s="3">
        <v>1.1</v>
      </c>
      <c r="H8" s="3">
        <v>1.3</v>
      </c>
      <c r="I8" s="3">
        <v>9.5</v>
      </c>
      <c r="J8" s="3">
        <v>8.6</v>
      </c>
      <c r="K8" s="3">
        <v>4.2</v>
      </c>
      <c r="L8" s="3">
        <v>1.4</v>
      </c>
      <c r="M8" s="3">
        <v>2.5</v>
      </c>
      <c r="N8" s="3">
        <v>0.8</v>
      </c>
    </row>
    <row r="9">
      <c r="A9" s="3">
        <v>1999.0</v>
      </c>
      <c r="B9" s="3">
        <v>20.7</v>
      </c>
      <c r="C9" s="3">
        <v>2.2</v>
      </c>
      <c r="D9" s="3">
        <v>0.5</v>
      </c>
      <c r="E9" s="3">
        <v>0.3</v>
      </c>
      <c r="F9" s="3">
        <v>2.5</v>
      </c>
      <c r="G9" s="3">
        <v>1.1</v>
      </c>
      <c r="H9" s="3">
        <v>0.7</v>
      </c>
      <c r="I9" s="3">
        <v>9.1</v>
      </c>
      <c r="J9" s="3">
        <v>8.4</v>
      </c>
      <c r="K9" s="3">
        <v>4.1</v>
      </c>
      <c r="L9" s="3">
        <v>1.4</v>
      </c>
      <c r="M9" s="3">
        <v>2.5</v>
      </c>
      <c r="N9" s="3">
        <v>0.8</v>
      </c>
    </row>
    <row r="10">
      <c r="A10" s="3">
        <v>2000.0</v>
      </c>
      <c r="B10" s="3">
        <v>20.3</v>
      </c>
      <c r="C10" s="3">
        <v>2.2</v>
      </c>
      <c r="D10" s="3">
        <v>0.5</v>
      </c>
      <c r="E10" s="3">
        <v>0.3</v>
      </c>
      <c r="F10" s="3">
        <v>2.0</v>
      </c>
      <c r="G10" s="3">
        <v>0.8</v>
      </c>
      <c r="H10" s="3">
        <v>0.6</v>
      </c>
      <c r="I10" s="3">
        <v>9.2</v>
      </c>
      <c r="J10" s="3">
        <v>8.3</v>
      </c>
      <c r="K10" s="3">
        <v>4.2</v>
      </c>
      <c r="L10" s="3">
        <v>1.4</v>
      </c>
      <c r="M10" s="3">
        <v>2.6</v>
      </c>
      <c r="N10" s="3">
        <v>0.9</v>
      </c>
    </row>
    <row r="11">
      <c r="A11" s="3">
        <v>2001.0</v>
      </c>
      <c r="B11" s="3">
        <v>19.8</v>
      </c>
      <c r="C11" s="3">
        <v>2.1</v>
      </c>
      <c r="D11" s="3">
        <v>0.4</v>
      </c>
      <c r="E11" s="3">
        <v>0.3</v>
      </c>
      <c r="F11" s="3">
        <v>1.9</v>
      </c>
      <c r="G11" s="3">
        <v>0.7</v>
      </c>
      <c r="H11" s="3">
        <v>0.7</v>
      </c>
      <c r="I11" s="3">
        <v>8.9</v>
      </c>
      <c r="J11" s="3">
        <v>8.1</v>
      </c>
      <c r="K11" s="3">
        <v>4.2</v>
      </c>
      <c r="L11" s="3">
        <v>1.4</v>
      </c>
      <c r="M11" s="3">
        <v>2.6</v>
      </c>
      <c r="N11" s="3">
        <v>0.9</v>
      </c>
    </row>
    <row r="12">
      <c r="A12" s="3">
        <v>2002.0</v>
      </c>
      <c r="B12" s="3">
        <v>19.8</v>
      </c>
      <c r="C12" s="3">
        <v>2.0</v>
      </c>
      <c r="D12" s="3">
        <v>0.4</v>
      </c>
      <c r="E12" s="3">
        <v>0.2</v>
      </c>
      <c r="F12" s="3">
        <v>2.0</v>
      </c>
      <c r="G12" s="3">
        <v>0.9</v>
      </c>
      <c r="H12" s="3">
        <v>0.6</v>
      </c>
      <c r="I12" s="3">
        <v>9.2</v>
      </c>
      <c r="J12" s="3">
        <v>8.5</v>
      </c>
      <c r="K12" s="3">
        <v>4.1</v>
      </c>
      <c r="L12" s="3">
        <v>1.3</v>
      </c>
      <c r="M12" s="3">
        <v>2.5</v>
      </c>
      <c r="N12" s="3">
        <v>0.8</v>
      </c>
    </row>
    <row r="13">
      <c r="A13" s="3">
        <v>2003.0</v>
      </c>
      <c r="B13" s="3">
        <v>19.0</v>
      </c>
      <c r="C13" s="3">
        <v>2.0</v>
      </c>
      <c r="D13" s="3">
        <v>0.4</v>
      </c>
      <c r="E13" s="3">
        <v>0.2</v>
      </c>
      <c r="F13" s="3">
        <v>2.1</v>
      </c>
      <c r="G13" s="3">
        <v>0.8</v>
      </c>
      <c r="H13" s="3">
        <v>0.7</v>
      </c>
      <c r="I13" s="3">
        <v>8.4</v>
      </c>
      <c r="J13" s="3">
        <v>7.7</v>
      </c>
      <c r="K13" s="3">
        <v>4.0</v>
      </c>
      <c r="L13" s="3">
        <v>1.3</v>
      </c>
      <c r="M13" s="3">
        <v>2.5</v>
      </c>
      <c r="N13" s="3">
        <v>0.8</v>
      </c>
    </row>
    <row r="14">
      <c r="A14" s="3">
        <v>2004.0</v>
      </c>
      <c r="B14" s="3">
        <v>18.5</v>
      </c>
      <c r="C14" s="3">
        <v>2.0</v>
      </c>
      <c r="D14" s="3">
        <v>0.4</v>
      </c>
      <c r="E14" s="3">
        <v>0.2</v>
      </c>
      <c r="F14" s="3">
        <v>2.1</v>
      </c>
      <c r="G14" s="3">
        <v>0.7</v>
      </c>
      <c r="H14" s="3">
        <v>0.7</v>
      </c>
      <c r="I14" s="3">
        <v>8.3</v>
      </c>
      <c r="J14" s="3">
        <v>7.6</v>
      </c>
      <c r="K14" s="3">
        <v>3.8</v>
      </c>
      <c r="L14" s="3">
        <v>1.2</v>
      </c>
      <c r="M14" s="3">
        <v>2.4</v>
      </c>
      <c r="N14" s="3">
        <v>0.8</v>
      </c>
    </row>
    <row r="15">
      <c r="A15" s="3">
        <v>2005.0</v>
      </c>
      <c r="B15" s="3">
        <v>17.7</v>
      </c>
      <c r="C15" s="3">
        <v>2.0</v>
      </c>
      <c r="D15" s="3">
        <v>0.4</v>
      </c>
      <c r="E15" s="3">
        <v>0.2</v>
      </c>
      <c r="F15" s="3">
        <v>1.6</v>
      </c>
      <c r="G15" s="3">
        <v>0.7</v>
      </c>
      <c r="H15" s="3">
        <v>0.5</v>
      </c>
      <c r="I15" s="3">
        <v>8.0</v>
      </c>
      <c r="J15" s="3">
        <v>7.3</v>
      </c>
      <c r="K15" s="3">
        <v>3.8</v>
      </c>
      <c r="L15" s="3">
        <v>1.2</v>
      </c>
      <c r="M15" s="3">
        <v>2.4</v>
      </c>
      <c r="N15" s="3">
        <v>0.8</v>
      </c>
    </row>
    <row r="16">
      <c r="A16" s="3">
        <v>2006.0</v>
      </c>
      <c r="B16" s="3">
        <v>17.5</v>
      </c>
      <c r="C16" s="3">
        <v>1.9</v>
      </c>
      <c r="D16" s="3">
        <v>0.5</v>
      </c>
      <c r="E16" s="3">
        <v>0.2</v>
      </c>
      <c r="F16" s="3">
        <v>1.7</v>
      </c>
      <c r="G16" s="3">
        <v>0.7</v>
      </c>
      <c r="H16" s="3">
        <v>0.5</v>
      </c>
      <c r="I16" s="3">
        <v>7.8</v>
      </c>
      <c r="J16" s="3">
        <v>7.2</v>
      </c>
      <c r="K16" s="3">
        <v>3.8</v>
      </c>
      <c r="L16" s="3">
        <v>1.1</v>
      </c>
      <c r="M16" s="3">
        <v>2.4</v>
      </c>
      <c r="N16" s="3">
        <v>0.8</v>
      </c>
    </row>
    <row r="17">
      <c r="A17" s="3">
        <v>2007.0</v>
      </c>
      <c r="B17" s="3">
        <v>17.2</v>
      </c>
      <c r="C17" s="3">
        <v>1.9</v>
      </c>
      <c r="D17" s="3">
        <v>0.4</v>
      </c>
      <c r="E17" s="3">
        <v>0.2</v>
      </c>
      <c r="F17" s="3">
        <v>1.7</v>
      </c>
      <c r="G17" s="3">
        <v>0.7</v>
      </c>
      <c r="H17" s="3">
        <v>0.5</v>
      </c>
      <c r="I17" s="3">
        <v>7.4</v>
      </c>
      <c r="J17" s="3">
        <v>6.8</v>
      </c>
      <c r="K17" s="3">
        <v>3.8</v>
      </c>
      <c r="L17" s="3">
        <v>1.1</v>
      </c>
      <c r="M17" s="3">
        <v>2.6</v>
      </c>
      <c r="N17" s="3">
        <v>0.8</v>
      </c>
    </row>
    <row r="18">
      <c r="A18" s="3">
        <v>2008.0</v>
      </c>
      <c r="B18" s="3">
        <v>17.1</v>
      </c>
      <c r="C18" s="3">
        <v>1.9</v>
      </c>
      <c r="D18" s="3">
        <v>0.4</v>
      </c>
      <c r="E18" s="3">
        <v>0.2</v>
      </c>
      <c r="F18" s="3">
        <v>1.6</v>
      </c>
      <c r="G18" s="3">
        <v>0.6</v>
      </c>
      <c r="H18" s="3">
        <v>0.5</v>
      </c>
      <c r="I18" s="3">
        <v>7.5</v>
      </c>
      <c r="J18" s="3">
        <v>6.7</v>
      </c>
      <c r="K18" s="3">
        <v>3.9</v>
      </c>
      <c r="L18" s="3">
        <v>1.1</v>
      </c>
      <c r="M18" s="3">
        <v>2.6</v>
      </c>
      <c r="N18" s="3">
        <v>0.8</v>
      </c>
    </row>
    <row r="19">
      <c r="A19" s="3">
        <v>2009.0</v>
      </c>
      <c r="B19" s="3">
        <v>15.9</v>
      </c>
      <c r="C19" s="3">
        <v>1.8</v>
      </c>
      <c r="D19" s="3">
        <v>0.3</v>
      </c>
      <c r="E19" s="3">
        <v>0.2</v>
      </c>
      <c r="F19" s="3">
        <v>1.5</v>
      </c>
      <c r="G19" s="3">
        <v>0.6</v>
      </c>
      <c r="H19" s="3">
        <v>0.5</v>
      </c>
      <c r="I19" s="3">
        <v>6.8</v>
      </c>
      <c r="J19" s="3">
        <v>6.1</v>
      </c>
      <c r="K19" s="3">
        <v>3.5</v>
      </c>
      <c r="L19" s="3">
        <v>1.0</v>
      </c>
      <c r="M19" s="3">
        <v>2.4</v>
      </c>
      <c r="N19" s="3">
        <v>0.7</v>
      </c>
    </row>
    <row r="20">
      <c r="A20" s="3">
        <v>2010.0</v>
      </c>
      <c r="B20" s="3">
        <v>16.5</v>
      </c>
      <c r="C20" s="3">
        <v>2.0</v>
      </c>
      <c r="D20" s="3">
        <v>0.4</v>
      </c>
      <c r="E20" s="3">
        <v>0.2</v>
      </c>
      <c r="F20" s="3">
        <v>1.6</v>
      </c>
      <c r="G20" s="3">
        <v>0.7</v>
      </c>
      <c r="H20" s="3">
        <v>0.5</v>
      </c>
      <c r="I20" s="3">
        <v>7.3</v>
      </c>
      <c r="J20" s="3">
        <v>6.4</v>
      </c>
      <c r="K20" s="3">
        <v>3.3</v>
      </c>
      <c r="L20" s="3">
        <v>0.9</v>
      </c>
      <c r="M20" s="3">
        <v>2.3</v>
      </c>
      <c r="N20" s="3">
        <v>0.7</v>
      </c>
    </row>
    <row r="21">
      <c r="A21" s="3">
        <v>2011.0</v>
      </c>
      <c r="B21" s="3">
        <v>16.0</v>
      </c>
      <c r="C21" s="3">
        <v>1.9</v>
      </c>
      <c r="D21" s="3">
        <v>0.3</v>
      </c>
      <c r="E21" s="3">
        <v>0.2</v>
      </c>
      <c r="F21" s="3">
        <v>1.6</v>
      </c>
      <c r="G21" s="3">
        <v>0.6</v>
      </c>
      <c r="H21" s="3">
        <v>0.5</v>
      </c>
      <c r="I21" s="3">
        <v>7.1</v>
      </c>
      <c r="J21" s="3">
        <v>6.2</v>
      </c>
      <c r="K21" s="3">
        <v>3.2</v>
      </c>
      <c r="L21" s="3">
        <v>0.9</v>
      </c>
      <c r="M21" s="3">
        <v>2.2</v>
      </c>
      <c r="N21" s="3">
        <v>0.7</v>
      </c>
    </row>
    <row r="22">
      <c r="A22" s="3">
        <v>2012.0</v>
      </c>
      <c r="B22" s="3">
        <v>15.7</v>
      </c>
      <c r="C22" s="3">
        <v>1.8</v>
      </c>
      <c r="D22" s="3">
        <v>0.3</v>
      </c>
      <c r="E22" s="3">
        <v>0.2</v>
      </c>
      <c r="F22" s="3">
        <v>1.6</v>
      </c>
      <c r="G22" s="3">
        <v>0.6</v>
      </c>
      <c r="H22" s="3">
        <v>0.5</v>
      </c>
      <c r="I22" s="3">
        <v>7.0</v>
      </c>
      <c r="J22" s="3">
        <v>6.2</v>
      </c>
      <c r="K22" s="3">
        <v>3.0</v>
      </c>
      <c r="L22" s="3">
        <v>0.9</v>
      </c>
      <c r="M22" s="3">
        <v>2.1</v>
      </c>
      <c r="N22" s="3">
        <v>0.7</v>
      </c>
    </row>
    <row r="23">
      <c r="A23" s="3">
        <v>2013.0</v>
      </c>
      <c r="B23" s="3">
        <v>15.2</v>
      </c>
      <c r="C23" s="3">
        <v>1.8</v>
      </c>
      <c r="D23" s="3">
        <v>0.3</v>
      </c>
      <c r="E23" s="3">
        <v>0.2</v>
      </c>
      <c r="F23" s="3">
        <v>1.6</v>
      </c>
      <c r="G23" s="3">
        <v>0.6</v>
      </c>
      <c r="H23" s="3">
        <v>0.5</v>
      </c>
      <c r="I23" s="3">
        <v>6.9</v>
      </c>
      <c r="J23" s="3">
        <v>6.2</v>
      </c>
      <c r="K23" s="3">
        <v>3.0</v>
      </c>
      <c r="L23" s="3">
        <v>0.8</v>
      </c>
      <c r="M23" s="3">
        <v>2.1</v>
      </c>
      <c r="N23" s="3">
        <v>0.6</v>
      </c>
    </row>
    <row r="24">
      <c r="A24" s="3">
        <v>2014.0</v>
      </c>
      <c r="B24" s="3">
        <v>14.7</v>
      </c>
      <c r="C24" s="3">
        <v>1.7</v>
      </c>
      <c r="D24" s="3">
        <v>0.2</v>
      </c>
      <c r="E24" s="3">
        <v>0.2</v>
      </c>
      <c r="F24" s="3">
        <v>1.5</v>
      </c>
      <c r="G24" s="3">
        <v>0.6</v>
      </c>
      <c r="H24" s="3">
        <v>0.5</v>
      </c>
      <c r="I24" s="3">
        <v>6.4</v>
      </c>
      <c r="J24" s="3">
        <v>5.6</v>
      </c>
      <c r="K24" s="3">
        <v>3.2</v>
      </c>
      <c r="L24" s="3">
        <v>0.8</v>
      </c>
      <c r="M24" s="3">
        <v>2.4</v>
      </c>
      <c r="N24" s="3">
        <v>0.6</v>
      </c>
    </row>
    <row r="25">
      <c r="A25" s="3">
        <v>2015.0</v>
      </c>
      <c r="B25" s="3">
        <v>14.4</v>
      </c>
      <c r="C25" s="3">
        <v>1.7</v>
      </c>
      <c r="D25" s="3">
        <v>0.2</v>
      </c>
      <c r="E25" s="3">
        <v>0.2</v>
      </c>
      <c r="F25" s="3">
        <v>1.5</v>
      </c>
      <c r="G25" s="3">
        <v>0.5</v>
      </c>
      <c r="H25" s="3">
        <v>0.5</v>
      </c>
      <c r="I25" s="3">
        <v>6.3</v>
      </c>
      <c r="J25" s="3">
        <v>5.5</v>
      </c>
      <c r="K25" s="3">
        <v>3.1</v>
      </c>
      <c r="L25" s="3">
        <v>0.8</v>
      </c>
      <c r="M25" s="3">
        <v>2.2</v>
      </c>
      <c r="N25" s="3">
        <v>0.6</v>
      </c>
    </row>
    <row r="26">
      <c r="A26" s="3">
        <v>2016.0</v>
      </c>
      <c r="B26" s="3">
        <v>14.7</v>
      </c>
      <c r="C26" s="3">
        <v>1.8</v>
      </c>
      <c r="D26" s="3">
        <v>0.2</v>
      </c>
      <c r="E26" s="3">
        <v>0.2</v>
      </c>
      <c r="F26" s="3">
        <v>1.6</v>
      </c>
      <c r="G26" s="3">
        <v>0.6</v>
      </c>
      <c r="H26" s="3">
        <v>0.5</v>
      </c>
      <c r="I26" s="3">
        <v>6.1</v>
      </c>
      <c r="J26" s="3">
        <v>5.3</v>
      </c>
      <c r="K26" s="3">
        <v>3.4</v>
      </c>
      <c r="L26" s="3">
        <v>0.8</v>
      </c>
      <c r="M26" s="3">
        <v>2.6</v>
      </c>
      <c r="N26" s="3">
        <v>0.6</v>
      </c>
    </row>
    <row r="27">
      <c r="A27" s="3">
        <v>2017.0</v>
      </c>
      <c r="B27" s="3">
        <v>13.6</v>
      </c>
      <c r="C27" s="3">
        <v>1.7</v>
      </c>
      <c r="D27" s="3">
        <v>0.2</v>
      </c>
      <c r="E27" s="3">
        <v>0.2</v>
      </c>
      <c r="F27" s="3">
        <v>1.5</v>
      </c>
      <c r="G27" s="3">
        <v>0.6</v>
      </c>
      <c r="H27" s="3">
        <v>0.4</v>
      </c>
      <c r="I27" s="3">
        <v>5.9</v>
      </c>
      <c r="J27" s="3">
        <v>5.1</v>
      </c>
      <c r="K27" s="3">
        <v>2.6</v>
      </c>
      <c r="L27" s="3">
        <v>0.8</v>
      </c>
      <c r="M27" s="3">
        <v>1.7</v>
      </c>
      <c r="N27" s="3">
        <v>0.6</v>
      </c>
    </row>
    <row r="28">
      <c r="A28" s="3">
        <v>2018.0</v>
      </c>
      <c r="B28" s="3">
        <v>13.1</v>
      </c>
      <c r="C28" s="3">
        <v>1.6</v>
      </c>
      <c r="D28" s="145">
        <v>0.2</v>
      </c>
      <c r="E28" s="145">
        <v>0.3</v>
      </c>
      <c r="F28" s="3">
        <v>1.4</v>
      </c>
      <c r="G28" s="3">
        <v>0.5</v>
      </c>
      <c r="H28" s="3">
        <v>0.3</v>
      </c>
      <c r="I28" s="3">
        <v>5.8</v>
      </c>
      <c r="J28" s="3">
        <v>5.0</v>
      </c>
      <c r="K28" s="3">
        <v>2.4</v>
      </c>
      <c r="L28" s="3">
        <v>0.8</v>
      </c>
      <c r="M28" s="3">
        <v>1.6</v>
      </c>
      <c r="N28" s="3">
        <v>0.6</v>
      </c>
    </row>
    <row r="29">
      <c r="A29" s="3">
        <v>2019.0</v>
      </c>
      <c r="B29" s="3">
        <v>12.6</v>
      </c>
      <c r="C29" s="3">
        <v>1.6</v>
      </c>
      <c r="D29" s="145">
        <v>0.2</v>
      </c>
      <c r="E29" s="145">
        <v>0.2</v>
      </c>
      <c r="F29" s="3">
        <v>1.4</v>
      </c>
      <c r="G29" s="3">
        <v>0.5</v>
      </c>
      <c r="H29" s="3">
        <v>0.8</v>
      </c>
      <c r="I29" s="3">
        <v>5.2</v>
      </c>
      <c r="J29" s="3">
        <v>4.7</v>
      </c>
      <c r="K29" s="3">
        <v>2.4</v>
      </c>
      <c r="L29" s="3">
        <v>0.8</v>
      </c>
      <c r="M29" s="3">
        <v>1.6</v>
      </c>
      <c r="N29" s="3">
        <v>0.6</v>
      </c>
    </row>
    <row r="30">
      <c r="A30" s="3">
        <v>2020.0</v>
      </c>
      <c r="B30" s="3">
        <v>11.8</v>
      </c>
      <c r="C30" s="3">
        <v>1.5</v>
      </c>
      <c r="D30" s="145">
        <v>0.2</v>
      </c>
      <c r="E30" s="145">
        <v>0.2</v>
      </c>
      <c r="F30" s="3">
        <v>1.2</v>
      </c>
      <c r="G30" s="3">
        <v>0.5</v>
      </c>
      <c r="H30" s="3">
        <v>0.6</v>
      </c>
      <c r="I30" s="3">
        <v>5.1</v>
      </c>
      <c r="J30" s="3">
        <v>4.6</v>
      </c>
      <c r="K30" s="3">
        <v>2.4</v>
      </c>
      <c r="L30" s="3">
        <v>0.7</v>
      </c>
      <c r="M30" s="3">
        <v>1.6</v>
      </c>
      <c r="N30" s="3">
        <v>0.5</v>
      </c>
    </row>
    <row r="31">
      <c r="A31" s="3">
        <v>2021.0</v>
      </c>
      <c r="B31" s="3">
        <v>11.6</v>
      </c>
      <c r="C31" s="3">
        <v>1.5</v>
      </c>
      <c r="D31" s="145">
        <v>0.2</v>
      </c>
      <c r="E31" s="145">
        <v>0.2</v>
      </c>
      <c r="F31" s="3">
        <v>1.3</v>
      </c>
      <c r="G31" s="3">
        <v>0.5</v>
      </c>
      <c r="H31" s="3">
        <v>0.7</v>
      </c>
      <c r="I31" s="3">
        <v>4.9</v>
      </c>
      <c r="J31" s="3">
        <v>4.5</v>
      </c>
      <c r="K31" s="3">
        <v>2.3</v>
      </c>
      <c r="L31" s="3">
        <v>0.7</v>
      </c>
      <c r="M31" s="3">
        <v>1.5</v>
      </c>
      <c r="N31" s="3">
        <v>0.4</v>
      </c>
    </row>
    <row r="32">
      <c r="A32" s="3">
        <v>2022.0</v>
      </c>
      <c r="B32" s="3">
        <v>11.3</v>
      </c>
      <c r="C32" s="3">
        <v>1.5</v>
      </c>
      <c r="D32" s="145">
        <v>0.2</v>
      </c>
      <c r="E32" s="145">
        <v>0.2</v>
      </c>
      <c r="F32" s="3">
        <v>1.4</v>
      </c>
      <c r="G32" s="3">
        <v>0.5</v>
      </c>
      <c r="H32" s="3">
        <v>0.9</v>
      </c>
      <c r="I32" s="3">
        <v>4.7</v>
      </c>
      <c r="J32" s="3">
        <v>4.3</v>
      </c>
      <c r="K32" s="3">
        <v>2.2</v>
      </c>
      <c r="L32" s="3">
        <v>0.7</v>
      </c>
      <c r="M32" s="3">
        <v>1.4</v>
      </c>
      <c r="N32" s="3">
        <v>0.4</v>
      </c>
    </row>
  </sheetData>
  <mergeCells count="1">
    <mergeCell ref="A1:N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</cols>
  <sheetData>
    <row r="1">
      <c r="A1" s="146" t="s">
        <v>535</v>
      </c>
      <c r="B1" s="39"/>
      <c r="C1" s="39"/>
      <c r="D1" s="39"/>
      <c r="E1" s="39"/>
      <c r="F1" s="39"/>
      <c r="G1" s="2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47" t="s">
        <v>536</v>
      </c>
      <c r="B2" s="148">
        <v>2017.0</v>
      </c>
      <c r="C2" s="148">
        <v>2018.0</v>
      </c>
      <c r="D2" s="148">
        <v>2019.0</v>
      </c>
      <c r="E2" s="148">
        <v>2020.0</v>
      </c>
      <c r="F2" s="148">
        <v>2021.0</v>
      </c>
      <c r="G2" s="148">
        <v>2022.0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49" t="s">
        <v>537</v>
      </c>
      <c r="B3" s="150">
        <v>13590.6</v>
      </c>
      <c r="C3" s="150">
        <v>13137.8</v>
      </c>
      <c r="D3" s="150">
        <v>12602.2</v>
      </c>
      <c r="E3" s="150">
        <v>11797.3</v>
      </c>
      <c r="F3" s="150">
        <v>11611.5</v>
      </c>
      <c r="G3" s="150">
        <v>11325.8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49" t="s">
        <v>538</v>
      </c>
      <c r="B4" s="150">
        <v>740.2</v>
      </c>
      <c r="C4" s="150">
        <v>748.3</v>
      </c>
      <c r="D4" s="150">
        <v>679.8</v>
      </c>
      <c r="E4" s="150">
        <v>479.8</v>
      </c>
      <c r="F4" s="150">
        <v>614.5</v>
      </c>
      <c r="G4" s="150">
        <v>763.8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49" t="s">
        <v>42</v>
      </c>
      <c r="B5" s="150">
        <v>832.2</v>
      </c>
      <c r="C5" s="150">
        <v>784.5</v>
      </c>
      <c r="D5" s="150">
        <v>687.6</v>
      </c>
      <c r="E5" s="150">
        <v>496.0</v>
      </c>
      <c r="F5" s="150">
        <v>447.9</v>
      </c>
      <c r="G5" s="150">
        <v>404.0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49" t="s">
        <v>39</v>
      </c>
      <c r="B6" s="150">
        <v>2402.6</v>
      </c>
      <c r="C6" s="150">
        <v>2275.9</v>
      </c>
      <c r="D6" s="150">
        <v>2088.6</v>
      </c>
      <c r="E6" s="150">
        <v>1877.3</v>
      </c>
      <c r="F6" s="150">
        <v>1723.4</v>
      </c>
      <c r="G6" s="150">
        <v>1704.9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49" t="s">
        <v>40</v>
      </c>
      <c r="B7" s="150">
        <v>1001.1</v>
      </c>
      <c r="C7" s="150">
        <v>888.5</v>
      </c>
      <c r="D7" s="150">
        <v>933.2</v>
      </c>
      <c r="E7" s="150">
        <v>811.8</v>
      </c>
      <c r="F7" s="150">
        <v>822.6</v>
      </c>
      <c r="G7" s="150">
        <v>804.6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49" t="s">
        <v>38</v>
      </c>
      <c r="B8" s="150">
        <v>8251.7</v>
      </c>
      <c r="C8" s="150">
        <v>8100.0</v>
      </c>
      <c r="D8" s="150">
        <v>7922.2</v>
      </c>
      <c r="E8" s="150">
        <v>7880.6</v>
      </c>
      <c r="F8" s="150">
        <v>7760.9</v>
      </c>
      <c r="G8" s="150">
        <v>7406.3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49" t="s">
        <v>539</v>
      </c>
      <c r="B9" s="150">
        <v>354.1</v>
      </c>
      <c r="C9" s="150">
        <v>340.0</v>
      </c>
      <c r="D9" s="150">
        <v>283.1</v>
      </c>
      <c r="E9" s="150">
        <v>252.7</v>
      </c>
      <c r="F9" s="150">
        <v>215.3</v>
      </c>
      <c r="G9" s="150">
        <v>195.2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49" t="s">
        <v>540</v>
      </c>
      <c r="B10" s="150">
        <v>691.9</v>
      </c>
      <c r="C10" s="150">
        <v>637.2</v>
      </c>
      <c r="D10" s="150">
        <v>447.8</v>
      </c>
      <c r="E10" s="150">
        <v>404.8</v>
      </c>
      <c r="F10" s="150">
        <v>365.6</v>
      </c>
      <c r="G10" s="150">
        <v>389.7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49" t="s">
        <v>541</v>
      </c>
      <c r="B11" s="150">
        <v>515.0</v>
      </c>
      <c r="C11" s="150">
        <v>499.1</v>
      </c>
      <c r="D11" s="150">
        <v>480.2</v>
      </c>
      <c r="E11" s="150">
        <v>462.7</v>
      </c>
      <c r="F11" s="150">
        <v>425.9</v>
      </c>
      <c r="G11" s="150">
        <v>388.0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49" t="s">
        <v>542</v>
      </c>
      <c r="B12" s="150">
        <v>855.5</v>
      </c>
      <c r="C12" s="150">
        <v>796.3</v>
      </c>
      <c r="D12" s="150">
        <v>817.2</v>
      </c>
      <c r="E12" s="150">
        <v>699.2</v>
      </c>
      <c r="F12" s="150">
        <v>632.2</v>
      </c>
      <c r="G12" s="150">
        <v>642.3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</sheetData>
  <mergeCells count="1">
    <mergeCell ref="A1:G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88"/>
  </cols>
  <sheetData>
    <row r="1"/>
    <row r="2"/>
    <row r="3"/>
    <row r="4"/>
    <row r="5"/>
    <row r="6"/>
    <row r="7"/>
    <row r="8"/>
    <row r="9"/>
    <row r="10"/>
    <row r="11"/>
  </sheetData>
  <drawing r:id="rId2"/>
</worksheet>
</file>